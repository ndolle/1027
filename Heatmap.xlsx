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pagn\Documents\01_Work\Vibevoice\"/>
    </mc:Choice>
  </mc:AlternateContent>
  <xr:revisionPtr revIDLastSave="0" documentId="8_{C3B9B971-137C-479A-A6C0-B72D356B6F32}" xr6:coauthVersionLast="47" xr6:coauthVersionMax="47" xr10:uidLastSave="{00000000-0000-0000-0000-000000000000}"/>
  <bookViews>
    <workbookView xWindow="1152" yWindow="1152" windowWidth="17280" windowHeight="8880" xr2:uid="{DB9D5065-DBA3-478D-A239-0A55B2D7D23D}"/>
  </bookViews>
  <sheets>
    <sheet name="Heatmap" sheetId="1" r:id="rId1"/>
    <sheet name="Evaluation" sheetId="2" r:id="rId2"/>
    <sheet name="Rating Scale" sheetId="3" r:id="rId3"/>
    <sheet name="Method &amp; References" sheetId="4" r:id="rId4"/>
  </sheets>
  <definedNames>
    <definedName name="_xlnm._FilterDatabase" localSheetId="1" hidden="1">Evaluation!$A$1:$G$116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5" i="1" l="1"/>
  <c r="C5" i="1"/>
  <c r="D5" i="1"/>
  <c r="E5" i="1"/>
  <c r="F5" i="1"/>
  <c r="G5" i="1"/>
  <c r="J5" i="1"/>
  <c r="K5" i="1"/>
  <c r="L5" i="1"/>
  <c r="M5" i="1"/>
  <c r="N5" i="1"/>
  <c r="B6" i="1"/>
  <c r="C6" i="1"/>
  <c r="D6" i="1"/>
  <c r="E6" i="1"/>
  <c r="F6" i="1"/>
  <c r="G6" i="1"/>
  <c r="J6" i="1"/>
  <c r="K6" i="1"/>
  <c r="L6" i="1"/>
  <c r="M6" i="1"/>
  <c r="N6" i="1"/>
  <c r="B7" i="1"/>
  <c r="C7" i="1"/>
  <c r="D7" i="1"/>
  <c r="K7" i="1" s="1"/>
  <c r="E7" i="1"/>
  <c r="L7" i="1" s="1"/>
  <c r="F7" i="1"/>
  <c r="M7" i="1" s="1"/>
  <c r="G7" i="1"/>
  <c r="N7" i="1" s="1"/>
  <c r="J7" i="1"/>
  <c r="B8" i="1"/>
  <c r="C8" i="1"/>
  <c r="D8" i="1"/>
  <c r="E8" i="1"/>
  <c r="F8" i="1"/>
  <c r="G8" i="1"/>
  <c r="J8" i="1"/>
  <c r="K8" i="1"/>
  <c r="L8" i="1"/>
  <c r="M8" i="1"/>
  <c r="N8" i="1"/>
  <c r="B9" i="1"/>
  <c r="C9" i="1"/>
  <c r="D9" i="1"/>
  <c r="E9" i="1"/>
  <c r="F9" i="1"/>
  <c r="G9" i="1"/>
  <c r="J9" i="1"/>
  <c r="K9" i="1"/>
  <c r="L9" i="1"/>
  <c r="M9" i="1"/>
  <c r="N9" i="1"/>
  <c r="B10" i="1"/>
  <c r="C10" i="1"/>
  <c r="J10" i="1" s="1"/>
  <c r="D10" i="1"/>
  <c r="K10" i="1" s="1"/>
  <c r="E10" i="1"/>
  <c r="L10" i="1" s="1"/>
  <c r="F10" i="1"/>
  <c r="M10" i="1" s="1"/>
  <c r="G10" i="1"/>
  <c r="N10" i="1"/>
  <c r="B11" i="1"/>
  <c r="C11" i="1"/>
  <c r="D11" i="1"/>
  <c r="E11" i="1"/>
  <c r="F11" i="1"/>
  <c r="G11" i="1"/>
  <c r="J11" i="1"/>
  <c r="K11" i="1"/>
  <c r="L11" i="1"/>
  <c r="M11" i="1"/>
  <c r="N11" i="1"/>
  <c r="B12" i="1"/>
  <c r="C12" i="1"/>
  <c r="D12" i="1"/>
  <c r="E12" i="1"/>
  <c r="F12" i="1"/>
  <c r="G12" i="1"/>
  <c r="J12" i="1"/>
  <c r="K12" i="1"/>
  <c r="L12" i="1"/>
  <c r="M12" i="1"/>
  <c r="N12" i="1"/>
  <c r="B13" i="1"/>
  <c r="C13" i="1"/>
  <c r="D13" i="1"/>
  <c r="E13" i="1"/>
  <c r="F13" i="1"/>
  <c r="G13" i="1"/>
  <c r="J13" i="1"/>
  <c r="K13" i="1"/>
  <c r="L13" i="1"/>
  <c r="M13" i="1"/>
  <c r="N13" i="1"/>
  <c r="B14" i="1"/>
  <c r="C14" i="1"/>
  <c r="D14" i="1"/>
  <c r="E14" i="1"/>
  <c r="F14" i="1"/>
  <c r="G14" i="1"/>
  <c r="J14" i="1"/>
  <c r="K14" i="1"/>
  <c r="L14" i="1"/>
  <c r="M14" i="1"/>
  <c r="N14" i="1"/>
  <c r="B15" i="1"/>
  <c r="C15" i="1"/>
  <c r="D15" i="1"/>
  <c r="E15" i="1"/>
  <c r="F15" i="1"/>
  <c r="M15" i="1" s="1"/>
  <c r="G15" i="1"/>
  <c r="N15" i="1" s="1"/>
  <c r="J15" i="1"/>
  <c r="K15" i="1"/>
  <c r="L15" i="1"/>
  <c r="B16" i="1"/>
  <c r="C16" i="1"/>
  <c r="D16" i="1"/>
  <c r="E16" i="1"/>
  <c r="F16" i="1"/>
  <c r="G16" i="1"/>
  <c r="J16" i="1"/>
  <c r="K16" i="1"/>
  <c r="L16" i="1"/>
  <c r="M16" i="1"/>
  <c r="N16" i="1"/>
  <c r="B17" i="1"/>
  <c r="C17" i="1"/>
  <c r="D17" i="1"/>
  <c r="E17" i="1"/>
  <c r="F17" i="1"/>
  <c r="G17" i="1"/>
  <c r="J17" i="1"/>
  <c r="K17" i="1"/>
  <c r="L17" i="1"/>
  <c r="M17" i="1"/>
  <c r="N17" i="1"/>
  <c r="B18" i="1"/>
  <c r="C18" i="1"/>
  <c r="J18" i="1" s="1"/>
  <c r="D18" i="1"/>
  <c r="K18" i="1" s="1"/>
  <c r="E18" i="1"/>
  <c r="L18" i="1" s="1"/>
  <c r="F18" i="1"/>
  <c r="M18" i="1" s="1"/>
  <c r="G18" i="1"/>
  <c r="N18" i="1" s="1"/>
  <c r="B19" i="1"/>
  <c r="C19" i="1"/>
  <c r="D19" i="1"/>
  <c r="E19" i="1"/>
  <c r="F19" i="1"/>
  <c r="G19" i="1"/>
  <c r="N19" i="1" s="1"/>
  <c r="J19" i="1"/>
  <c r="K19" i="1"/>
  <c r="L19" i="1"/>
  <c r="M19" i="1"/>
  <c r="B20" i="1"/>
  <c r="C20" i="1"/>
  <c r="D20" i="1"/>
  <c r="E20" i="1"/>
  <c r="F20" i="1"/>
  <c r="G20" i="1"/>
  <c r="J20" i="1"/>
  <c r="K20" i="1"/>
  <c r="L20" i="1"/>
  <c r="M20" i="1"/>
  <c r="N20" i="1"/>
  <c r="B21" i="1"/>
  <c r="C21" i="1"/>
  <c r="D21" i="1"/>
  <c r="E21" i="1"/>
  <c r="F21" i="1"/>
  <c r="G21" i="1"/>
  <c r="J21" i="1"/>
  <c r="K21" i="1"/>
  <c r="L21" i="1"/>
  <c r="M21" i="1"/>
  <c r="N21" i="1"/>
  <c r="B22" i="1"/>
  <c r="C22" i="1"/>
  <c r="D22" i="1"/>
  <c r="E22" i="1"/>
  <c r="F22" i="1"/>
  <c r="G22" i="1"/>
  <c r="J22" i="1"/>
  <c r="K22" i="1"/>
  <c r="L22" i="1"/>
  <c r="M22" i="1"/>
  <c r="N22" i="1"/>
  <c r="B23" i="1"/>
  <c r="C23" i="1"/>
  <c r="D23" i="1"/>
  <c r="E23" i="1"/>
  <c r="F23" i="1"/>
  <c r="G23" i="1"/>
  <c r="J23" i="1"/>
  <c r="K23" i="1"/>
  <c r="L23" i="1"/>
  <c r="M23" i="1"/>
  <c r="N23" i="1"/>
  <c r="B24" i="1"/>
  <c r="C24" i="1"/>
  <c r="D24" i="1"/>
  <c r="E24" i="1"/>
  <c r="F24" i="1"/>
  <c r="G24" i="1"/>
  <c r="J24" i="1"/>
  <c r="K24" i="1"/>
  <c r="L24" i="1"/>
  <c r="M24" i="1"/>
  <c r="N24" i="1"/>
  <c r="B25" i="1"/>
  <c r="C25" i="1"/>
  <c r="D25" i="1"/>
  <c r="E25" i="1"/>
  <c r="F25" i="1"/>
  <c r="G25" i="1"/>
  <c r="J25" i="1"/>
  <c r="K25" i="1"/>
  <c r="L25" i="1"/>
  <c r="M25" i="1"/>
  <c r="N25" i="1"/>
  <c r="B26" i="1"/>
  <c r="C26" i="1"/>
  <c r="D26" i="1"/>
  <c r="E26" i="1"/>
  <c r="F26" i="1"/>
  <c r="G26" i="1"/>
  <c r="J26" i="1"/>
  <c r="K26" i="1"/>
  <c r="L26" i="1"/>
  <c r="M26" i="1"/>
  <c r="N26" i="1"/>
  <c r="B27" i="1"/>
  <c r="C27" i="1"/>
  <c r="D27" i="1"/>
  <c r="E27" i="1"/>
  <c r="F27" i="1"/>
  <c r="G27" i="1"/>
  <c r="J27" i="1"/>
  <c r="K27" i="1"/>
  <c r="L27" i="1"/>
  <c r="M27" i="1"/>
  <c r="N27" i="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H5" i="1" l="1"/>
  <c r="H6" i="1"/>
  <c r="H8" i="1"/>
  <c r="H9" i="1"/>
  <c r="H11" i="1"/>
  <c r="H12" i="1"/>
  <c r="H13" i="1"/>
  <c r="H14" i="1"/>
  <c r="H15" i="1"/>
  <c r="H16" i="1"/>
  <c r="H17" i="1"/>
  <c r="H19" i="1"/>
  <c r="H20" i="1"/>
  <c r="H21" i="1"/>
  <c r="H22" i="1"/>
  <c r="H23" i="1"/>
  <c r="H24" i="1"/>
  <c r="H25" i="1"/>
  <c r="H26" i="1"/>
  <c r="H27" i="1"/>
  <c r="C31" i="1"/>
  <c r="C32" i="1"/>
  <c r="C36" i="1" s="1"/>
  <c r="C33" i="1"/>
  <c r="C34" i="1"/>
  <c r="C35" i="1"/>
  <c r="D31" i="1"/>
  <c r="D32" i="1"/>
  <c r="D33" i="1"/>
  <c r="D34" i="1"/>
  <c r="D35" i="1"/>
  <c r="E31" i="1"/>
  <c r="E32" i="1"/>
  <c r="E33" i="1"/>
  <c r="E34" i="1"/>
  <c r="E35" i="1"/>
  <c r="F31" i="1"/>
  <c r="F32" i="1"/>
  <c r="F33" i="1"/>
  <c r="F34" i="1"/>
  <c r="F35" i="1"/>
  <c r="G31" i="1"/>
  <c r="G32" i="1"/>
  <c r="G33" i="1"/>
  <c r="G34" i="1"/>
  <c r="G35" i="1"/>
  <c r="H7" i="1"/>
  <c r="H18" i="1"/>
  <c r="H10" i="1"/>
  <c r="H35" i="1" l="1"/>
  <c r="H34" i="1"/>
  <c r="H33" i="1"/>
  <c r="H32" i="1"/>
  <c r="H31" i="1"/>
  <c r="H36" i="1" s="1"/>
  <c r="E36" i="1"/>
  <c r="D36" i="1"/>
  <c r="F36" i="1"/>
  <c r="G36" i="1"/>
</calcChain>
</file>

<file path=xl/sharedStrings.xml><?xml version="1.0" encoding="utf-8"?>
<sst xmlns="http://schemas.openxmlformats.org/spreadsheetml/2006/main" count="649" uniqueCount="220">
  <si>
    <t>Rating</t>
  </si>
  <si>
    <t>Score</t>
  </si>
  <si>
    <t>Definition</t>
  </si>
  <si>
    <t>Low</t>
  </si>
  <si>
    <t>Limited exposure; sector features rarely produce material loss; standard controls sufficient.</t>
  </si>
  <si>
    <t>Medium</t>
  </si>
  <si>
    <t>Some exposure; events occur but impact is contained and substitutable; periodic monitoring.</t>
  </si>
  <si>
    <t>High</t>
  </si>
  <si>
    <t>Recurring events with material loss potential; enhanced due diligence and KRIs warranted.</t>
  </si>
  <si>
    <t>Very High</t>
  </si>
  <si>
    <t>Frequent or severe events in the sector; contagion to the bank plausible; senior oversight and specific limits.</t>
  </si>
  <si>
    <t>Critical</t>
  </si>
  <si>
    <t>Systemic or recently crystallised large-scale losses; direct, fast contagion; top-priority deep-dive and risk appetite review.</t>
  </si>
  <si>
    <t>Overall rating rule: rounded mean of the five area scores, never more than one level below the highest area score (used in Heatmap column H).</t>
  </si>
  <si>
    <t>No.</t>
  </si>
  <si>
    <t>Sector / Scope</t>
  </si>
  <si>
    <t>Scope description</t>
  </si>
  <si>
    <t>Risk Area</t>
  </si>
  <si>
    <t>Indicators and references</t>
  </si>
  <si>
    <t>Indicator count</t>
  </si>
  <si>
    <t>Securitization – entire scope</t>
  </si>
  <si>
    <t>Originated, sponsored and invested ABS, RMBS, CLO, warehouse lines and SRT trades.</t>
  </si>
  <si>
    <t>Fraud</t>
  </si>
  <si>
    <t>1. Tricolor (Sept 2025): auto lender collapse amid alleged double-pledging of loan collateral across warehouse lenders
2. First Brands (Sept 2025): receivables and inventory allegedly financed more than once through off-balance-sheet SPVs
3. Collateral quality depends on originator loan tapes; loan-level misrepresentation usually surfaces only at default
4. Commingling of collections at servicer level creates diversion risk before cash reaches the SPV
5. Private and synthetic deals carry less public disclosure and fewer independent reviewers
6. Tighter credit cycle increases originators' incentive to misrepresent pool performance</t>
  </si>
  <si>
    <t>Cyber / ICT</t>
  </si>
  <si>
    <t>1. Loan-level personal data held by servicers, trustees and securitisation repositories (GDPR scope)
2. Payment-diversion and BEC risk on waterfall payments and investor distributions
3. Ransomware at a servicer can halt collections and investor reporting
4. Bank's direct ICT exposure is limited; most risk sits with counterparties
5. Reporting runs through external ESMA-registered repositories and data platforms</t>
  </si>
  <si>
    <t>Operational Resilience</t>
  </si>
  <si>
    <t>1. Single-servicer concentration; backup servicers are often 'cold' with no live data
2. Waterfall and cash-flow models frequently run in spreadsheets / end-user computing tools
3. Fixed investor-reporting deadlines (EU SR Art. 7) make processes time-critical
4. Collection continuity depends on the originator's own operations
5. Historical servicer transfers take months, exposing pools to performance drift</t>
  </si>
  <si>
    <t>TPRM</t>
  </si>
  <si>
    <t>1. Long chain of parties: originator, servicer, trustee, cash manager, account bank, swap counterparty, rating agencies
2. Bank relies on originator reps, warranties and its own Art. 5 due diligence
3. Fourth-party exposure via servicers' outsourced IT and BPO providers
4. Limited audit rights over non-regulated originators (fintech, BNPL, specialty lenders)
5. Data-tape agreed-upon procedures are sample-based and miss systematic fraud</t>
  </si>
  <si>
    <t>Governance / Operating Model</t>
  </si>
  <si>
    <t>1. Complex SPV structures relying on corporate service providers and independent directors
2. EU Securitisation Regulation and STS label carry administrative sanctions for breaches
3. SRT transactions require supervisory review of risk transfer and governance
4. Role conflicts when the bank is originator, sponsor, arranger and investor at once
5. Model and data ownership split across Front Office, Risk and Finance</t>
  </si>
  <si>
    <t>Supply Chain facilities</t>
  </si>
  <si>
    <t>Reverse factoring, receivables purchase, payables finance and inventory finance programmes.</t>
  </si>
  <si>
    <t>1. Greensill Capital (2021): financing of prospective receivables and insurance gaps led to multi-billion losses for investors and lenders
2. First Brands Group (2025): alleged double-financing of invoices left factoring and SCF lenders with large unsecured exposure
3. Fictitious and duplicate invoices are the dominant fraud typology in receivables finance
4. Phantom or related-party buyers and invoice dilution are hard to detect at onboarding
5. Automated, same-day funding with limited invoice-level verification
6. Over- and under-invoicing are FATF trade-based money laundering red flags</t>
  </si>
  <si>
    <t>1. Programmes run on multi-bank SCF platforms with API links into client ERPs
2. Supplier bank-detail changes are prime targets for business email compromise
3. High payment volumes to a long tail of small suppliers
4. Compromised supplier-portal credentials allow fake early-payment requests
5. Fintech platform partners show uneven security maturity</t>
  </si>
  <si>
    <t>1. Daily funding cycles: an outage stops supplier liquidity immediately
2. Dependence on platform availability and file transmission windows
3. Manual reconciliation of buyer repayments against funded invoices
4. Programmes concentrated on a few anchor buyers
5. Recovery plans rarely tested end to end with platforms</t>
  </si>
  <si>
    <t>1. Third-party platforms perform supplier onboarding and hold invoice data
2. Credit insurance may not respond (Greensill / Tokio Marine coverage dispute)
3. Reliance on anchor buyer confirmation of invoices
4. Distribution to investors depends on the originating platform's controls
5. Thousands of suppliers onboarded with simplified KYC</t>
  </si>
  <si>
    <t>1. SCF often reported as trade payables rather than debt; IAS 7 / IFRS 7 supplier finance disclosures only effective from 2024
2. Product ownership spread across Trade, Cash Management and Credit
3. Buyer limits and supplier exposures can be set inconsistently
4. Rating agencies flag reverse factoring as 'hidden debt'
5. Fast programme growth outpaces control frameworks</t>
  </si>
  <si>
    <t>Growth Solutions clients</t>
  </si>
  <si>
    <t>Scale-ups, venture-backed and high-growth mid-caps served by growth / innovation banking.</t>
  </si>
  <si>
    <t>1. Frank / JPMorgan (founder convicted 2025): fabricated customer numbers passed acquirer due diligence
2. Founder-led firms with weak segregation of duties
3. Pressure to inflate revenue or KPIs ahead of funding rounds
4. Short audit history; many first-time audits
5. Fast-changing business models hide anomalies in financials
6. Fintech, payments and BNPL models carry higher fraud loss rates</t>
  </si>
  <si>
    <t>1. Small or outsourced security teams in cloud-first companies
2. SMEs and mid-market firms are heavily represented in ransomware cases (Verizon DBIR 2025)
3. SaaS sprawl without central identity and access governance
4. Frequent acquisitions and integrations open temporary gaps
5. Cyber insurance coverage often thin or absent</t>
  </si>
  <si>
    <t>1. Key-person dependency in founders and early engineers
2. BCP and disaster recovery immature and rarely tested
3. Concentrated customer and supplier bases
4. Operations scale faster than documented processes
5. Short cash runway amplifies the impact of any disruption</t>
  </si>
  <si>
    <t>1. Heavy reliance on hyperscalers, SaaS and outsourced finance and payroll
2. Little negotiating power over vendor contract terms
3. Few formal vendor due-diligence processes
4. Fourth-party dependencies largely unknown
5. Embedded-finance and BaaS partners are critical links</t>
  </si>
  <si>
    <t>1. Founder control, dual-class shares and investor-appointed boards
2. Independent directors and board committees often absent
3. Control functions (finance, compliance, risk) lag headcount growth
4. Variable quality of covenant and management reporting
5. Valuation-driven incentives; down-round pressure after the 2022–2024 VC correction
6. Due-diligence failures even by sophisticated acquirers (Frank, 2025 conviction)</t>
  </si>
  <si>
    <t>Information technologies (Digital infrastructure / Data centres)</t>
  </si>
  <si>
    <t>Data centres, hosting, cloud, managed services and digital infrastructure.</t>
  </si>
  <si>
    <t>1. Mostly B2B contracts with limited retail fraud surface
2. Insider risk from privileged administrative access
3. Vendor and invoice fraud in large capex build-outs
4. Crypto-mining and hosting tenants raise counterparty fraud risk
5. Pre-let capacity can be overstated in AI data-centre financing</t>
  </si>
  <si>
    <t>1. CrowdStrike faulty update (July 2024) crashed about 8.5m Windows devices worldwide
2. Kaseya (2021): one MSP compromise spread ransomware to around 1,500 downstream businesses
3. Volt Typhoon pre-positioning in critical infrastructure networks (CISA, 2024)
4. Software supply-chain attacks: SolarWinds (2020), XZ Utils backdoor (2024)
5. NIS2 classes data centres, cloud and managed service providers as essential or important entities</t>
  </si>
  <si>
    <t>1. OVHcloud Strasbourg fire (March 2021) destroyed a data centre and customer data
2. London heatwave (July 2022) cooling failures took Google and Oracle facilities offline
3. Grid-connection and power constraints tightened by AI demand
4. Tight availability SLAs (99.99%) with penalty clauses
5. Cloud market concentrated in three hyperscalers</t>
  </si>
  <si>
    <t>1. ESAs designated critical ICT third-party providers under DORA (2025)
2. Long lead times for chips, transformers, generators and cooling equipment
3. EPC contractors under pressure from accelerated build schedules
4. Software supply chain spans many open-source components
5. Clients are often also vendors to the bank, compounding exposure</t>
  </si>
  <si>
    <t>1. Operators mostly listed or owned by mature infrastructure / PE funds
2. Strong certification culture (ISO 27001, SOC 2, Uptime tiers)
3. AI-driven expansion stretches capex governance
4. Leveraged holding structures under fund ownership
5. Widening regulatory scope (DORA, NIS2, EU Data Act)</t>
  </si>
  <si>
    <t>Communications Services (Telecom)</t>
  </si>
  <si>
    <t>Fixed and mobile operators, tower companies, fibre and satellite.</t>
  </si>
  <si>
    <t>1. CFCA estimated global telecom fraud losses at about US$39bn (2023)
2. SIM-swap and subscription fraud at scale
3. International revenue share fraud (IRSF) and Wangiri call fraud
4. Dealer and agent channel fraud on handset subsidies
5. Regulators shifting scam liability to carriers (UK, Singapore, Australia)</t>
  </si>
  <si>
    <t>1. Salt Typhoon (2024) compromised several US carriers, including lawful-intercept systems
2. Optus (2022) breach exposed about 10m customer records
3. Wide attack surface: core network, OSS/BSS, 5G edge, SS7 and Diameter signalling
4. Critical infrastructure status under NIS2 and the UK Telecommunications Security Act
5. Repeated large customer data breaches (e.g., T-Mobile US)</t>
  </si>
  <si>
    <t>1. Rogers outage (July 2022) cut about 12m customers and Interac payments across Canada
2. Optus national outage (Nov 2023) and emergency-call failure (Sept 2025)
3. A single core configuration error can cause a national outage
4. Cell-site battery backup limited during grid failures
5. Emergency-service obligations magnify the impact of any failure</t>
  </si>
  <si>
    <t>1. RAN vendor concentration and high-risk vendor removal programmes (UK Huawei removal by 2027)
2. Outsourced network operations and managed services
3. Towers and fibre carved out to third-party infrastructure companies
4. Retail dealer and franchise networks
5. Cloud-native cores moving to hyperscalers</t>
  </si>
  <si>
    <t>1. Mostly listed and heavily regulated operators
2. Strong sector regulators (Ofcom, ARCEP, BNetzA)
3. State shareholdings and golden shares in some markets
4. Asset carve-outs and restructuring add structural complexity
5. Executive accountability after outages (Optus CEO resigned 2023)</t>
  </si>
  <si>
    <t>Utilities (Electricity, Gas, Water, etc.)</t>
  </si>
  <si>
    <t>Generation, transmission, distribution, gas networks and water companies.</t>
  </si>
  <si>
    <t>1. Regulated revenue models limit the incentive for financial-statement fraud
2. Energy theft and meter tampering
3. Procurement fraud in large capex programmes
4. Billing and subsidy fraud in energy support schemes
5. Market manipulation risk in trading arms (REMIT enforcement)</t>
  </si>
  <si>
    <t>1. Ukrainian grid attacks (2015, 2016) proved OT disruption is feasible
2. Volt Typhoon pre-positioned in US energy and water utilities (CISA advisory, 2024)
3. American Water Works cyberattack (Oct 2024) forced billing systems offline
4. Legacy OT/SCADA with long patch cycles
5. Smart meters and distributed assets widen the attack surface</t>
  </si>
  <si>
    <t>1. Iberian blackout (28 April 2025) cut power across Spain and Portugal
2. Heathrow substation fire (March 2025) showed single points of failure
3. Storms, heat and drought are increasing outage frequency
4. Intermittent renewables complicate grid balancing
5. Essential-service obligations and regulator penalties for outages</t>
  </si>
  <si>
    <t>1. OEM remote-maintenance access into OT environments
2. Outsourced field services and contractors
3. Multi-year lead times for transformers and grid equipment
4. Billing and customer systems moving to cloud
5. Security concerns over foreign components in inverters and renewables</t>
  </si>
  <si>
    <t>1. Mostly regulated, many state-owned or listed
2. Strong regulatory oversight (Ofgem, CRE, BNetzA)
3. Thames Water (2023–2025): leverage and governance failures under financial-sponsor ownership
4. Political intervention risk (price caps, EDF renationalisation 2023)
5. Large transformation programmes under public scrutiny</t>
  </si>
  <si>
    <t>Retail Trade</t>
  </si>
  <si>
    <t>Grocery, general merchandise, specialist and online retailers.</t>
  </si>
  <si>
    <t>1. Card-not-present, refund and return fraud at scale
2. Organised retail crime and shrinkage rising
3. Steinhoff (2017): accounting fraud of about €6bn
4. Gift-card and loyalty-point fraud
5. Cash handling across large store estates</t>
  </si>
  <si>
    <t>1. Marks &amp; Spencer (April 2025): online orders halted for about seven weeks, roughly £300m profit impact
2. Co-op (2025): customer data theft and store stock shortages
3. Target (2013): breach entered through an HVAC vendor's credentials
4. Help-desk social engineering campaigns aimed at retailers (Scattered Spider)
5. Payment card data in scope of PCI DSS</t>
  </si>
  <si>
    <t>1. Just-in-time logistics: a distribution-centre outage empties shelves within days
2. Peak trading periods amplify outage impact
3. Dependence on e-commerce platforms
4. CrowdStrike outage (2024) took down point-of-sale systems
5. Labour disputes and strikes</t>
  </si>
  <si>
    <t>1. Outsourced IT service desks were the entry point in 2025 retail attacks
2. Large private-label supplier base with forced-labour and ESG exposure
3. Payment processors, marketplaces and last-mile carriers
4. Franchise operating models
5. Cloud e-commerce and SaaS platforms</t>
  </si>
  <si>
    <t>1. Margin pressure and insolvencies (Wilko 2023; Galeria / Signa 2024)
2. Mix of listed groups and leveraged PE-owned chains
3. Omnichannel transformation programmes
4. Consumer protection regulation
5. Supply-chain due-diligence laws (German LkSG, EU CSDDD)</t>
  </si>
  <si>
    <t>Wholesale Trade</t>
  </si>
  <si>
    <t>Distributors, commodity and goods intermediaries, import/export traders.</t>
  </si>
  <si>
    <t>1. EPPO Operation Admiral (2022): €2.2bn VAT carousel fraud in electronics trading
2. Trafigura (2023): cargoes bought as nickel found to contain other materials, about US$577m loss
3. Qingdao port (2014): metal pledged repeatedly through duplicate warehouse receipts
4. Trade-based money laundering through over- and under-invoicing
5. Thin-margin intermediaries with high turnover relative to equity</t>
  </si>
  <si>
    <t>1. B2B ordering portals and EDI connections
2. BEC and payment redirection are common
3. Less consumer data than retail
4. Ransomware on warehouse management systems
5. Lower-profile target than retail or finance</t>
  </si>
  <si>
    <t>1. Dependence on warehousing and logistics
2. Inventory concentrated in a few locations
3. Moderate substitutability of distributors
4. Seasonal demand
5. Manual processes in smaller wholesalers</t>
  </si>
  <si>
    <t>1. Collateral managers and warehouse operators control pledged stock
2. Supplier concentration in Asia
3. Sanctions evasion and re-export risk for dual-use goods
4. Reliance on customs brokers and freight forwarders
5. Dependence on credit insurers</t>
  </si>
  <si>
    <t>1. Many family-owned private companies with limited disclosure
2. Heavy sanctions and export-control compliance burden
3. Low-capital, high-leverage structures
4. Variable audit quality
5. Related-party trading</t>
  </si>
  <si>
    <t>Media &amp; Cultural Services</t>
  </si>
  <si>
    <t>Broadcasting, publishing, streaming, advertising, events and cultural institutions.</t>
  </si>
  <si>
    <t>1. Ad fraud from bot traffic inflates digital advertising revenue
2. Royalty and rights-accounting fraud
3. Ticketing fraud
4. Grant and subsidy fraud in the cultural sector
5. Ticket sizes generally small</t>
  </si>
  <si>
    <t>1. Sony Pictures (2014): destructive attack wiped systems and leaked content
2. TV5Monde (2015): attack took 12 channels off air
3. Pre-release leaks and piracy
4. Deepfake impersonation and disinformation targeting media brands
5. Subscriber databases hold payment and personal data</t>
  </si>
  <si>
    <t>1. Live broadcast continuity requirements
2. Content and channels moderately substitutable
3. Event cancellations (COVID-19 precedent)
4. Streaming depends on CDNs
5. Industrial action (Hollywood strikes 2023)</t>
  </si>
  <si>
    <t>1. Production outsourced to studios and post-production vendors
2. CDN and cloud dependence
3. Rights holders and talent agencies
4. Ad-tech intermediaries
5. App-store and platform distribution</t>
  </si>
  <si>
    <t>1. Founder and family control (Murdoch family trust dispute, 2024–2025)
2. Media pluralism rules (European Media Freedom Act, 2024)
3. Political and reputational exposure
4. Restructuring of legacy media
5. Unsettled AI copyright questions</t>
  </si>
  <si>
    <t>Automotive</t>
  </si>
  <si>
    <t>OEMs, tier-1 to tier-3 suppliers, dealers and captive auto finance.</t>
  </si>
  <si>
    <t>1. Volkswagen emissions fraud (2015) cost more than €30bn
2. First Brands (2025): auto-parts supplier collapse amid alleged invoice and inventory financing fraud
3. Tricolor (2025): auto-loan collateral allegedly pledged twice
4. Dealer floorplan fraud ('selling out of trust')
5. Warranty claim fraud</t>
  </si>
  <si>
    <t>1. Jaguar Land Rover (Sept 2025): production halted about five weeks; UK government £1.5bn loan guarantee
2. CDK Global (June 2024): ransomware disrupted about 15,000 US dealerships
3. Toyota halted 14 Japanese plants after a supplier cyberattack (2022)
4. Connected vehicles under UNECE R155 cyber regulation
5. OT exposure across production plants</t>
  </si>
  <si>
    <t>1. Just-in-time and just-in-sequence production with little buffer stock
2. Semiconductor shortage (2021–2023); Nexperia export dispute (Oct 2025) threatened chip supply
3. Chinese rare-earth export controls (2025) hit magnet supply
4. EV transition forcing plant restructuring
5. Single-source tier-2 and tier-3 parts</t>
  </si>
  <si>
    <t>1. Deep multi-tier supplier networks with low tier-n visibility
2. Rising supplier insolvencies in 2024–2025
3. Dealer management systems concentrated on few vendors
4. Battery supply chain concentrated in China
5. Software suppliers for software-defined vehicles</t>
  </si>
  <si>
    <t>1. Governance reforms after emissions scandal
2. Family and state anchor shareholders
3. Tariff and trade policy volatility
4. Plant closures and restructuring in Europe
5. EU fleet CO2 compliance</t>
  </si>
  <si>
    <t>Energy excl. Electricity</t>
  </si>
  <si>
    <t>Oil and gas upstream, midstream, refining, LNG and commodity trading.</t>
  </si>
  <si>
    <t>1. Hin Leong (2020): about US$800m of hidden losses and oil sold that was already pledged to banks
2. Commodity-trader bribery: Glencore guilty pleas (2022), Vitol (2020)
3. Fuel theft and smuggling
4. Sanctions evasion through the 'shadow fleet'
5. Reserve over-statement risk</t>
  </si>
  <si>
    <t>1. Colonial Pipeline (2021): ransomware shut a 5,500-mile pipeline
2. Saudi Aramco Shamoon (2012): wiper hit about 30,000 workstations
3. OT and ICS in refineries, pipelines and terminals
4. Persistent state-sponsored targeting
5. Essential entity under NIS2</t>
  </si>
  <si>
    <t>1. Process-safety hazards (explosions, spills)
2. Geopolitical supply disruption (Red Sea, Russia)
3. Long-lived assets with maintenance-driven outages
4. Hurricane exposure in Gulf of Mexico assets
5. Single pipeline and terminal dependencies</t>
  </si>
  <si>
    <t>1. Heavy reliance on oilfield-services contractors
2. Shipping and charter counterparties, including shadow-fleet risk
3. JV partners and national oil companies
4. OT vendors' remote access
5. Tightening insurance availability</t>
  </si>
  <si>
    <t>1. Corruption risk in high-risk jurisdictions (FCPA cases)
2. State ownership in many producers
3. Volatile transition strategy and greenwashing claims
4. Complex sanctions compliance
5. Private trading houses with limited disclosure</t>
  </si>
  <si>
    <t>Transport &amp; Storage</t>
  </si>
  <si>
    <t>Airlines, airports, shipping, ports, rail, road freight, logistics and warehousing.</t>
  </si>
  <si>
    <t>1. Cargo theft and fictitious pickups rising
2. Double-brokering fraud in freight
3. Fuel-card fraud
4. Customs fraud
5. Ticketing fraud</t>
  </si>
  <si>
    <t>1. Maersk NotPetya (2017): about US$300m loss and global IT rebuild
2. Collins Aerospace MUSE ransomware (Sept 2025) disrupted check-in at Heathrow, Brussels and Berlin
3. DP World Australia (2023): attack halted four port terminals
4. OT in ports, airports and rail signalling
5. GPS jamming and spoofing</t>
  </si>
  <si>
    <t>1. CrowdStrike outage (2024): Delta cancelled about 7,000 flights
2. Heathrow closure (March 2025) after substation fire
3. Red Sea diversions since late 2023
4. Baltimore Key Bridge collapse (2024) closed the port
5. Strikes and air-traffic-control disruption</t>
  </si>
  <si>
    <t>1. Shared infrastructure dependencies (airports, ports, ATC)
2. Outsourced ground handling and aviation IT (SITA, Collins)
3. Subcontracted carriers and hauliers
4. Fuel suppliers
5. Aircraft and vessel lessors</t>
  </si>
  <si>
    <t>1. Mix of state-owned and listed operators
2. Strong safety regulators
3. Difficult labour relations
4. Capital intensity and leverage
5. Ongoing sector consolidation</t>
  </si>
  <si>
    <t>Healthcare &amp; Pharmaceuticals</t>
  </si>
  <si>
    <t>Hospitals, care providers, pharma, biotech, medtech and health IT.</t>
  </si>
  <si>
    <t>1. US DOJ national healthcare fraud takedown (June 2025): about US$14.6bn intended loss
2. NMC Health (2020): about US$4bn of undisclosed debt
3. Counterfeit and falsified medicines
4. Kickbacks and bribery to prescribers
5. Clinical-trial data falsification</t>
  </si>
  <si>
    <t>1. Change Healthcare (Feb 2024): ransomware halted US claims processing; about 190m people affected
2. Healthcare has been the costliest sector for breaches for 14 years running (IBM, 2024: about US$9.8m per breach)
3. Synnovis (June 2024): attack disrupted pathology across London hospitals
4. Vulnerable connected medical devices
5. Sensitive data and patient-safety pressure raise ransom payment rates</t>
  </si>
  <si>
    <t>1. Disruption directly affects patient safety
2. Recurring drug shortages
3. Active ingredient production concentrated in China and India
4. Single sterile-manufacturing sites
5. Cold-chain dependence</t>
  </si>
  <si>
    <t>1. Clearinghouse concentration exposed by Change Healthcare
2. Reliance on CMOs, CDMOs and CROs
3. Medtech and health-IT vendors
4. Outsourced hospital IT
5. US–China decoupling pressure on CDMO choices (BIOSECURE)</t>
  </si>
  <si>
    <t>1. Heavy regulation (FDA, EMA, GxP)
2. PE roll-ups in care (Steward Health Care bankruptcy, 2024)
3. Mass litigation (opioids)
4. Drug pricing policy shifts (IRA, US most-favoured-nation pricing, 2025)
5. Compliance programme expectations from enforcement agencies</t>
  </si>
  <si>
    <t>Chemicals excl. Pharmaceuticals</t>
  </si>
  <si>
    <t>Basic, specialty and agro-chemicals, plastics and industrial gases.</t>
  </si>
  <si>
    <t>1. Procurement and rebate fraud
2. Sanctions and dual-use diversion
3. Drug-precursor diversion
4. Limited commodity manipulation exposure
5. Mostly large incumbents with established controls</t>
  </si>
  <si>
    <t>1. Triton / Trisis (2017) targeted safety instrumented systems at a petrochemical plant
2. State-sponsored IP espionage
3. Manufacturing is the most-attacked industry (IBM X-Force, several years running)
4. Legacy control systems
5. Chemicals in NIS2 scope</t>
  </si>
  <si>
    <t>1. Seveso-class sites; major accidents (Beirut 2020, Leverkusen 2021)
2. Energy-cost dependence exposed by the 2022 European gas crisis
3. Integrated production sites create single points of failure
4. Rhine low-water episodes disrupt logistics
5. European plant closures and capacity cuts</t>
  </si>
  <si>
    <t>1. Feedstock supplier concentration
2. Hazardous-goods transport contractors
3. Toll manufacturers
4. REACH compliance across the supply chain
5. Pricing pressure from Chinese capacity</t>
  </si>
  <si>
    <t>1. Mostly mature listed firms
2. PFAS litigation (3M US$10.3bn settlement, 2023)
3. Tightening environmental regulation
4. Restructuring programmes
5. Process-safety governance expectations</t>
  </si>
  <si>
    <t>Real Estate</t>
  </si>
  <si>
    <t>Commercial and residential property investors, developers and REITs.</t>
  </si>
  <si>
    <t>1. Signa (2023): collapse of a group of about 1,000 entities; founder faces criminal proceedings
2. Adler Group: auditor disclaimed opinion (2022) after valuation allegations
3. Mortgage, title and valuation fraud
4. Money laundering through property (FATF)
5. Rent-roll manipulation in financing</t>
  </si>
  <si>
    <t>1. Wire fraud on property transactions (FBI IC3 flags real estate BEC)
2. Smart-building control systems
3. Tenant personal data
4. Property managers hold access and data
5. Overall low attacker interest</t>
  </si>
  <si>
    <t>1. Climate and flood exposure of physical assets
2. Long leases buffer short-term disruption
3. Continuity of property management
4. Building safety obligations (post-Grenfell)
5. Low operational criticality</t>
  </si>
  <si>
    <t>1. Outsourced property and facility management
2. Dependence on external valuers
3. Construction contractors
4. Brokers and agents
5. CRE loan servicers</t>
  </si>
  <si>
    <t>1. Complex and opaque holding structures
2. Refinancing wall after rate rises
3. Evergrande and Country Garden governance failures
4. Related-party transactions
5. Weak valuation governance</t>
  </si>
  <si>
    <t>Equipments excl. IT</t>
  </si>
  <si>
    <t>Machinery, electrical equipment, aerospace and defence, industrial equipment.</t>
  </si>
  <si>
    <t>1. Airbus (2020): €3.6bn bribery settlement
2. Certification data falsification (Toyota Industries, Hino, 2022–2024)
3. Warranty and inventory fraud
4. Export-control evasion
5. Procurement fraud</t>
  </si>
  <si>
    <t>1. Defence and industrial IP espionage
2. OT in factories
3. Manufacturing most-attacked industry (IBM X-Force)
4. Connected and IoT-enabled equipment
5. Defence supply-chain cyber requirements (US CMMC)</t>
  </si>
  <si>
    <t>1. Long, specialised supply chains
2. Single-source castings and forgings
3. Boeing machinists' strike (2024) lasted about seven weeks
4. Quality escapes trigger production halts
5. Rare-earth magnet supply</t>
  </si>
  <si>
    <t>1. Key supplier quality failures (Spirit AeroSystems)
2. Multi-tier supplier networks
3. Defence offset partners
4. Distributor and service networks
5. Embedded software suppliers</t>
  </si>
  <si>
    <t>1. Boeing 737-9 door-plug incident (2024) exposed safety-culture governance gaps
2. Mostly mature listed groups
3. Export-control compliance
4. Rapid defence production ramp-ups
5. Family-owned Mittelstand firms</t>
  </si>
  <si>
    <t>Materials &amp; Ores</t>
  </si>
  <si>
    <t>Mining, metals, steel, aluminium, construction materials and paper.</t>
  </si>
  <si>
    <t>1. Trafigura (2023): about US$577m nickel cargo fraud
2. Qingdao (2014): duplicate warehouse receipts for metal
3. Kobe Steel (2017): product quality data falsification
4. Bribery in mining jurisdictions
5. Conflict minerals and illicit gold flows</t>
  </si>
  <si>
    <t>1. Norsk Hydro LockerGoga ransomware (2019): about US$70m loss
2. OT in smelters and mines
3. Remote operations centres
4. State espionage on critical minerals
5. Legacy systems</t>
  </si>
  <si>
    <t>1. Tailings dam failures (Brumadinho, 2019)
2. Energy-intensive operations
3. Export bans (China gallium and germanium, 2023)
4. Weather and logistics disruption
5. Labour unrest</t>
  </si>
  <si>
    <t>1. Mining contractors
2. Offtake and trader counterparties
3. Collateral managers and warehouses
4. Energy suppliers
5. Shipping</t>
  </si>
  <si>
    <t>1. High-risk operating jurisdictions
2. Resource nationalism
3. Glencore bribery case (2022)
4. ESG controversies
5. State ownership in key producers</t>
  </si>
  <si>
    <t>Agriculture, Food, Tobacco</t>
  </si>
  <si>
    <t>Farming, agri-commodities, food processing, beverages and tobacco.</t>
  </si>
  <si>
    <t>1. Food fraud and adulteration (European horsemeat scandal, 2013)
2. ADM (2024): accounting investigation into the Nutrition segment
3. Warehouse-receipt fraud in commodity finance
4. Illicit tobacco trade and smuggling
5. EU agricultural subsidy fraud (EPPO cases)</t>
  </si>
  <si>
    <t>1. JBS (2021): ransomware closed US beef plants; US$11m ransom paid
2. Asahi (Sept 2025): ransomware halted production in Japan
3. OT in processing plants
4. Low security maturity in agriculture
5. Dole (2023) ransomware disrupted supply</t>
  </si>
  <si>
    <t>1. Perishability and food-safety recalls
2. Climate, weather and animal disease (avian influenza)
3. Commodity price shocks
4. Processing capacity concentrated in few firms
5. Black Sea grain disruption</t>
  </si>
  <si>
    <t>1. Multi-tier and smallholder supply chains; EU Deforestation Regulation traceability
2. Forced-labour due diligence
3. Logistics and cold chain
4. Co-packers
5. Commodity traders</t>
  </si>
  <si>
    <t>1. Family-owned conglomerates
2. Tobacco litigation and regulation
3. Deforestation and ESG scrutiny
4. Portfolio restructuring (Kraft Heinz split announced 2025)
5. Generally mature listed firms</t>
  </si>
  <si>
    <t>Building &amp; Public Works</t>
  </si>
  <si>
    <t>Contractors, civil engineering, infrastructure construction and building materials distribution.</t>
  </si>
  <si>
    <t>1. Odebrecht / Lava Jato (2016): bribery case with about US$3.5bn global settlement
2. Bid rigging and cartels
3. Percentage-of-completion revenue manipulation
4. Subcontractor invoice fraud
5. Public procurement is a top EU fraud and corruption risk area</t>
  </si>
  <si>
    <t>1. Interserve (2020) breach; ICO fine of £4.4m
2. BEC on stage payments
3. BIM and project data
4. Limited OT exposure
5. Moderate attacker interest</t>
  </si>
  <si>
    <t>1. Project delays and cost overruns
2. Weather disruption
3. Material price volatility
4. Labour shortages
5. Site safety incidents</t>
  </si>
  <si>
    <t>1. Long subcontractor chains
2. Carillion (2018) collapse left about 30,000 suppliers unpaid
3. JV partner dependency
4. Surety and bonding providers
5. Construction among the highest insolvency sectors</t>
  </si>
  <si>
    <t>1. Carillion: aggressive accounting and board oversight failures
2. Thin margins and contract risk
3. Legacy fixed-price contracts
4. Public scrutiny of public-works contracts
5. Family-owned firms</t>
  </si>
  <si>
    <t>Hotels, Tourism, Leisure</t>
  </si>
  <si>
    <t>Hotels, travel, casinos, leisure parks, restaurants and events.</t>
  </si>
  <si>
    <t>1. Booking and payment fraud with chargebacks
2. Fake listings and booking scams
3. AML exposure in casinos and cash-heavy leisure
4. Loyalty-point fraud
5. Moderate loss sizes</t>
  </si>
  <si>
    <t>1. MGM Resorts (2023): about US$100m impact; Caesars paid about US$15m ransom
2. Marriott / Starwood breach of about 339m guest records (ICO fine £18.4m)
3. Payment card data
4. Phishing through booking platforms (Booking.com scams)
5. Uneven security across franchised properties</t>
  </si>
  <si>
    <t>1. Pandemic shock precedent
2. Seasonality
3. Weather events
4. Moderate criticality
5. Labour availability</t>
  </si>
  <si>
    <t>1. Reliance on online travel agencies
2. Property-management and reservation systems
3. Franchise and management contracts
4. Outsourced staffing
5. Payment processors</t>
  </si>
  <si>
    <t>1. Asset-light franchise models dilute control
2. PE ownership
3. Casino licensing
4. Leverage
5. Mature large groups</t>
  </si>
  <si>
    <t>Personal &amp; Household Services</t>
  </si>
  <si>
    <t>Cleaning, care-at-home, repair, beauty, fitness and similar services.</t>
  </si>
  <si>
    <t>1. Cash-intensive businesses (AML)
2. Payroll and benefit fraud
3. Subsidy fraud (service voucher schemes)
4. Small transaction values
5. Franchise fraud</t>
  </si>
  <si>
    <t>1. Small firms with low security maturity
2. Low target value for attackers
3. Customer data in home services
4. SaaS booking platforms
5. Limited systemic impact</t>
  </si>
  <si>
    <t>1. Highly fragmented and substitutable
2. Disruption stays local
3. Low capital intensity
4. Labour availability is the main driver
5. Low criticality to the bank</t>
  </si>
  <si>
    <t>1. Gig-platform dependency
2. Payment providers
3. Subcontracted labour
4. Franchise arrangements
5. Insurance availability</t>
  </si>
  <si>
    <t>1. Small owner-managed firms
2. Labour law compliance (EU Platform Work Directive, 2024)
3. Limited financial reporting
4. Franchise oversight
5. Family succession</t>
  </si>
  <si>
    <t>Household Goods</t>
  </si>
  <si>
    <t>Consumer durables, home and personal care products, furniture and appliances.</t>
  </si>
  <si>
    <t>1. Channel stuffing and trade-promotion accounting
2. Counterfeit products
3. Rebate fraud
4. Procurement fraud
5. Moderate exposure overall</t>
  </si>
  <si>
    <t>1. Clorox (Aug 2023): cyberattack drove about a 20% quarterly sales drop
2. E-commerce channels
3. OT in plants
4. Smart-home device data
5. Moderate attacker interest</t>
  </si>
  <si>
    <t>1. Manufacturing concentrated in Asia
2. US tariff changes (2025)
3. Seasonal demand
4. Dependence on large retailers
5. Products substitutable</t>
  </si>
  <si>
    <t>1. Contract manufacturers
2. Retail customer concentration
3. Logistics providers
4. Packaging suppliers
5. ERP vendor transitions</t>
  </si>
  <si>
    <t>1. Mature listed brand owners
2. Product safety regulation
3. Packaging ESG rules
4. Stable governance structures
5. Some family-owned groups</t>
  </si>
  <si>
    <t>Business Services</t>
  </si>
  <si>
    <t>BPO, outsourcing, consulting, staffing, payroll, facility management and professional services.</t>
  </si>
  <si>
    <t>1. Wirecard (2020): audit failure over €1.9bn of missing cash
2. McKinsey (2024): about US$122m settlement over South African bribery
3. Payroll and BPO insider fraud
4. Invoice and timesheet fraud
5. Staffing-sector umbrella company and VAT fraud</t>
  </si>
  <si>
    <t>1. Capita (2023): attack cost about £25m and exposed pension data of many client schemes
2. MOVEit (2023): file-transfer flaw reached payroll provider Zellis and its clients
3. MSP and BPO compromises cascade to clients
4. Concentrated holdings of client data
5. Help-desk social engineering via outsourced service desks</t>
  </si>
  <si>
    <t>1. Client SLAs depend on continuous delivery
2. Labour-intensive offshore delivery centres
3. Industrial action
4. Geographic concentration in India and the Philippines
5. Moderate substitutability</t>
  </si>
  <si>
    <t>1. Many are the bank's own critical third parties under DORA
2. Nested fourth parties
3. Offshore subcontracting
4. Software vendor dependency
5. Provider concentration</t>
  </si>
  <si>
    <t>1. PE-owned roll-ups
2. Professional regulation (audit, legal)
3. Partnership structures
4. Conflicts of interest
5. Mature large providers</t>
  </si>
  <si>
    <t>Sector Non-Financial Risk Heatmap</t>
  </si>
  <si>
    <t>Inherent exposure, as of 28 Oct 2026. Basis: public information and expert judgement. Ratings link to the Evaluation sheet; edit them there.</t>
  </si>
  <si>
    <t>Overall</t>
  </si>
  <si>
    <t>Score: Fraud</t>
  </si>
  <si>
    <t>Score: Cyber / ICT</t>
  </si>
  <si>
    <t>Score: Operational Resilience</t>
  </si>
  <si>
    <t>Score: TPRM</t>
  </si>
  <si>
    <t>Score: Governance / Operating Model</t>
  </si>
  <si>
    <t>Distribution of ratings</t>
  </si>
  <si>
    <t>Total</t>
  </si>
  <si>
    <t>Helper scores (1 = Low ... 5 = Critical) used by the Overall formula</t>
  </si>
  <si>
    <t>Method and limits</t>
  </si>
  <si>
    <t>What is rated</t>
  </si>
  <si>
    <t>Inherent exposure of a typical client or transaction in each scope, before the bank's own mitigants (collateral, covenants, insurance, monitoring). It is a sector baseline for prioritising reviews, not a client-level rating.</t>
  </si>
  <si>
    <t>How ratings were set</t>
  </si>
  <si>
    <t>Each area weighs likelihood (threat activity, control maturity, regulatory signals) and impact (loss size, contagion to the bank, systemic reach). Indicators combine documented loss events, regulatory designations and structural features of the sector.</t>
  </si>
  <si>
    <t>Overall rating</t>
  </si>
  <si>
    <t>Rounded mean of the five area scores (Low = 1 to Critical = 5), never more than one level below the highest area score. A single Critical area lifts the overall to at least Very High.</t>
  </si>
  <si>
    <t>Calibrate before use</t>
  </si>
  <si>
    <t>Validate against internal loss data, KRIs, RCSA results, exposure size and client concentration. Event figures come from public reporting and court filings. Several 2025 cases (Tricolor, First Brands, Jaguar Land Rover, M&amp;S) are still being litigated or investigated, so figures may be revised.</t>
  </si>
  <si>
    <t>Key references</t>
  </si>
  <si>
    <t>EU Digital Operational Resilience Act (DORA), Regulation (EU) 2022/2554, and ESA designation of critical ICT third-party providers</t>
  </si>
  <si>
    <t>NIS2 Directive (EU) 2022/2555: essential and important entity sectors</t>
  </si>
  <si>
    <t>EBA Guidelines on outsourcing arrangements (EBA/GL/2019/02) and on internal governance (EBA/GL/2021/05)</t>
  </si>
  <si>
    <t>Basel Committee, Principles for Operational Resilience (2021) and revised Principles for the Sound Management of Operational Risk</t>
  </si>
  <si>
    <t>EU Securitisation Regulation (EU) 2017/2402: due diligence (Art. 5), transparency (Art. 7), STS criteria</t>
  </si>
  <si>
    <t>IASB amendments to IAS 7 / IFRS 7 on supplier finance arrangements (effective 2024)</t>
  </si>
  <si>
    <t>ACFE Occupational Fraud 2024: A Report to the Nations</t>
  </si>
  <si>
    <t>IBM Cost of a Data Breach Report (2024, 2025); IBM X-Force Threat Intelligence Index</t>
  </si>
  <si>
    <t>ENISA Threat Landscape (2024, 2025); Verizon Data Breach Investigations Report (2025)</t>
  </si>
  <si>
    <t>CISA advisories on PRC state-sponsored activity (Volt Typhoon, Salt Typhoon), 2024-2025</t>
  </si>
  <si>
    <t>CFCA Global Telecommunications Fraud Loss Survey (2023)</t>
  </si>
  <si>
    <t>EPPO annual reports (VAT carousel / MTIC and agricultural subsidy fraud)</t>
  </si>
  <si>
    <t>FATF guidance on trade-based money laundering and real estate sector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</si>
</sst>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rial"/>
      <family val="2"/>
    </font>
    <font>
      <b/>
      <sz val="10"/>
      <color theme="1"/>
      <name val="Arial"/>
      <family val="2"/>
    </font>
    <font>
      <b/>
      <sz val="10"/>
      <color rgb="FFFFFFFF"/>
      <name val="Arial"/>
      <family val="2"/>
    </font>
    <font>
      <i/>
      <sz val="10"/>
      <color rgb="FF5A6879"/>
      <name val="Arial"/>
      <family val="2"/>
    </font>
    <font>
      <sz val="10"/>
      <color rgb="FF5A6879"/>
      <name val="Arial"/>
      <family val="2"/>
    </font>
    <font>
      <b/>
      <sz val="16"/>
      <color rgb="FF14202E"/>
      <name val="Arial"/>
      <family val="2"/>
    </font>
    <font>
      <b/>
      <sz val="13"/>
      <color rgb="FF14202E"/>
      <name val="Arial"/>
      <family val="2"/>
    </font>
  </fonts>
  <fills count="4">
    <fill>
      <patternFill patternType="none"/>
    </fill>
    <fill>
      <patternFill patternType="gray125"/>
    </fill>
    <fill>
      <patternFill patternType="solid">
        <fgColor rgb="FF1F4E8C"/>
        <bgColor indexed="64"/>
      </patternFill>
    </fill>
    <fill>
      <patternFill patternType="solid">
        <fgColor rgb="FFF3F5F8"/>
        <bgColor indexed="64"/>
      </patternFill>
    </fill>
  </fills>
  <borders count="5">
    <border>
      <left/>
      <right/>
      <top/>
      <bottom/>
      <diagonal/>
    </border>
    <border>
      <left/>
      <right/>
      <top style="thin">
        <color rgb="FF8C96A5"/>
      </top>
      <bottom/>
      <diagonal/>
    </border>
    <border>
      <left style="thin">
        <color rgb="FFD9DEE6"/>
      </left>
      <right style="thin">
        <color rgb="FFD9DEE6"/>
      </right>
      <top style="thin">
        <color rgb="FFD9DEE6"/>
      </top>
      <bottom style="thin">
        <color rgb="FFD9DEE6"/>
      </bottom>
      <diagonal/>
    </border>
    <border>
      <left style="medium">
        <color rgb="FFD9DEE6"/>
      </left>
      <right style="thin">
        <color rgb="FFD9DEE6"/>
      </right>
      <top style="thin">
        <color rgb="FFD9DEE6"/>
      </top>
      <bottom style="thin">
        <color rgb="FFD9DEE6"/>
      </bottom>
      <diagonal/>
    </border>
    <border>
      <left style="thin">
        <color rgb="FFD9DEE6"/>
      </left>
      <right/>
      <top style="thin">
        <color rgb="FFD9DEE6"/>
      </top>
      <bottom style="thin">
        <color rgb="FFD9DEE6"/>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1" fillId="0" borderId="0" xfId="0" applyFont="1"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4" fillId="0" borderId="0" xfId="0" applyFont="1"/>
    <xf numFmtId="0" fontId="1" fillId="0" borderId="0" xfId="0" applyFont="1" applyBorder="1" applyAlignment="1">
      <alignment horizontal="center" vertical="top" wrapText="1"/>
    </xf>
    <xf numFmtId="0" fontId="1" fillId="0" borderId="0" xfId="0" applyFont="1" applyBorder="1" applyAlignment="1">
      <alignment vertical="top" wrapText="1"/>
    </xf>
    <xf numFmtId="0" fontId="5" fillId="0" borderId="0" xfId="0" applyFont="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5" fillId="0" borderId="1" xfId="0" applyFont="1" applyBorder="1" applyAlignment="1">
      <alignment vertical="top" wrapText="1"/>
    </xf>
    <xf numFmtId="0" fontId="1" fillId="3" borderId="0" xfId="0" applyFont="1" applyFill="1" applyBorder="1" applyAlignment="1">
      <alignment horizontal="center" vertical="top" wrapText="1"/>
    </xf>
    <xf numFmtId="0" fontId="1" fillId="3" borderId="0" xfId="0" applyFont="1" applyFill="1" applyBorder="1" applyAlignment="1">
      <alignment vertical="top" wrapText="1"/>
    </xf>
    <xf numFmtId="0" fontId="5" fillId="3" borderId="0" xfId="0" applyFont="1" applyFill="1"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5" fillId="0" borderId="0" xfId="0" applyFont="1"/>
    <xf numFmtId="0" fontId="3" fillId="2" borderId="2" xfId="0" applyFont="1" applyFill="1" applyBorder="1" applyAlignment="1">
      <alignment vertical="center" wrapText="1"/>
    </xf>
    <xf numFmtId="0" fontId="1" fillId="0" borderId="2" xfId="0" applyFont="1" applyBorder="1" applyAlignment="1">
      <alignment horizontal="center"/>
    </xf>
    <xf numFmtId="0" fontId="1" fillId="0" borderId="2" xfId="0" applyFont="1" applyBorder="1" applyAlignment="1">
      <alignment horizontal="left"/>
    </xf>
    <xf numFmtId="0" fontId="1" fillId="0" borderId="4" xfId="0" applyFont="1" applyBorder="1" applyAlignment="1">
      <alignment horizontal="center"/>
    </xf>
    <xf numFmtId="0" fontId="1" fillId="0" borderId="3" xfId="0" applyFont="1" applyBorder="1" applyAlignment="1">
      <alignment horizontal="center"/>
    </xf>
    <xf numFmtId="0" fontId="5" fillId="0" borderId="0" xfId="0" applyFont="1" applyAlignment="1">
      <alignment horizontal="center"/>
    </xf>
    <xf numFmtId="0" fontId="1" fillId="0" borderId="2" xfId="0" applyFont="1" applyBorder="1"/>
    <xf numFmtId="0" fontId="2" fillId="0" borderId="2" xfId="0" applyFont="1" applyBorder="1"/>
    <xf numFmtId="0" fontId="2" fillId="0" borderId="2" xfId="0" applyFont="1" applyBorder="1" applyAlignment="1">
      <alignment horizontal="center"/>
    </xf>
    <xf numFmtId="0" fontId="7" fillId="0" borderId="0" xfId="0" applyFont="1" applyAlignment="1">
      <alignment vertical="top"/>
    </xf>
    <xf numFmtId="0" fontId="2" fillId="0" borderId="0" xfId="0" applyFont="1" applyAlignment="1">
      <alignment vertical="top" wrapText="1"/>
    </xf>
    <xf numFmtId="0" fontId="1" fillId="0" borderId="0" xfId="0" applyFont="1" applyAlignment="1">
      <alignment horizontal="left" vertical="top" wrapText="1"/>
    </xf>
  </cellXfs>
  <cellStyles count="1">
    <cellStyle name="Normal" xfId="0" builtinId="0"/>
  </cellStyles>
  <dxfs count="20">
    <dxf>
      <font>
        <b/>
        <i val="0"/>
        <color rgb="FFFFFFFF"/>
      </font>
      <fill>
        <patternFill>
          <bgColor rgb="FFE07B2A"/>
        </patternFill>
      </fill>
    </dxf>
    <dxf>
      <font>
        <b/>
        <i val="0"/>
        <color rgb="FF2A2100"/>
      </font>
      <fill>
        <patternFill>
          <bgColor rgb="FFE2B93B"/>
        </patternFill>
      </fill>
    </dxf>
    <dxf>
      <font>
        <b/>
        <i val="0"/>
        <color rgb="FFFFFFFF"/>
      </font>
      <fill>
        <patternFill>
          <bgColor rgb="FFC8352E"/>
        </patternFill>
      </fill>
    </dxf>
    <dxf>
      <font>
        <b/>
        <i val="0"/>
        <color rgb="FFFFFFFF"/>
      </font>
      <fill>
        <patternFill>
          <bgColor rgb="FF5E1530"/>
        </patternFill>
      </fill>
    </dxf>
    <dxf>
      <font>
        <b/>
        <i val="0"/>
        <color rgb="FFFFFFFF"/>
      </font>
      <fill>
        <patternFill>
          <bgColor rgb="FF2F8A57"/>
        </patternFill>
      </fill>
    </dxf>
    <dxf>
      <font>
        <b/>
        <i val="0"/>
        <color rgb="FFFFFFFF"/>
      </font>
      <fill>
        <patternFill>
          <bgColor rgb="FFE07B2A"/>
        </patternFill>
      </fill>
    </dxf>
    <dxf>
      <font>
        <b/>
        <i val="0"/>
        <color rgb="FF2A2100"/>
      </font>
      <fill>
        <patternFill>
          <bgColor rgb="FFE2B93B"/>
        </patternFill>
      </fill>
    </dxf>
    <dxf>
      <font>
        <b/>
        <i val="0"/>
        <color rgb="FFFFFFFF"/>
      </font>
      <fill>
        <patternFill>
          <bgColor rgb="FFC8352E"/>
        </patternFill>
      </fill>
    </dxf>
    <dxf>
      <font>
        <b/>
        <i val="0"/>
        <color rgb="FFFFFFFF"/>
      </font>
      <fill>
        <patternFill>
          <bgColor rgb="FF5E1530"/>
        </patternFill>
      </fill>
    </dxf>
    <dxf>
      <font>
        <b/>
        <i val="0"/>
        <color rgb="FFFFFFFF"/>
      </font>
      <fill>
        <patternFill>
          <bgColor rgb="FF2F8A57"/>
        </patternFill>
      </fill>
    </dxf>
    <dxf>
      <font>
        <b/>
        <i val="0"/>
        <color rgb="FFFFFFFF"/>
      </font>
      <fill>
        <patternFill>
          <bgColor rgb="FFE07B2A"/>
        </patternFill>
      </fill>
    </dxf>
    <dxf>
      <font>
        <b/>
        <i val="0"/>
        <color rgb="FF2A2100"/>
      </font>
      <fill>
        <patternFill>
          <bgColor rgb="FFE2B93B"/>
        </patternFill>
      </fill>
    </dxf>
    <dxf>
      <font>
        <b/>
        <i val="0"/>
        <color rgb="FFFFFFFF"/>
      </font>
      <fill>
        <patternFill>
          <bgColor rgb="FFC8352E"/>
        </patternFill>
      </fill>
    </dxf>
    <dxf>
      <font>
        <b/>
        <i val="0"/>
        <color rgb="FFFFFFFF"/>
      </font>
      <fill>
        <patternFill>
          <bgColor rgb="FF5E1530"/>
        </patternFill>
      </fill>
    </dxf>
    <dxf>
      <font>
        <b/>
        <i val="0"/>
        <color rgb="FFFFFFFF"/>
      </font>
      <fill>
        <patternFill>
          <bgColor rgb="FF2F8A57"/>
        </patternFill>
      </fill>
    </dxf>
    <dxf>
      <font>
        <b/>
        <i val="0"/>
        <color rgb="FFFFFFFF"/>
      </font>
      <fill>
        <patternFill>
          <bgColor rgb="FFE07B2A"/>
        </patternFill>
      </fill>
    </dxf>
    <dxf>
      <font>
        <b/>
        <i val="0"/>
        <color rgb="FF2A2100"/>
      </font>
      <fill>
        <patternFill>
          <bgColor rgb="FFE2B93B"/>
        </patternFill>
      </fill>
    </dxf>
    <dxf>
      <font>
        <b/>
        <i val="0"/>
        <color rgb="FFFFFFFF"/>
      </font>
      <fill>
        <patternFill>
          <bgColor rgb="FFC8352E"/>
        </patternFill>
      </fill>
    </dxf>
    <dxf>
      <font>
        <b/>
        <i val="0"/>
        <color rgb="FFFFFFFF"/>
      </font>
      <fill>
        <patternFill>
          <bgColor rgb="FF5E1530"/>
        </patternFill>
      </fill>
    </dxf>
    <dxf>
      <font>
        <b/>
        <i val="0"/>
        <color rgb="FFFFFFFF"/>
      </font>
      <fill>
        <patternFill>
          <bgColor rgb="FF2F8A5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246E-ADAF-478E-AAD5-F99EDCC16890}">
  <dimension ref="A1:N36"/>
  <sheetViews>
    <sheetView tabSelected="1" workbookViewId="0">
      <pane xSplit="2" ySplit="4" topLeftCell="C5" activePane="bottomRight" state="frozenSplit"/>
      <selection pane="bottomLeft" activeCell="A5" sqref="A5"/>
      <selection pane="topRight" activeCell="C1" sqref="C1"/>
      <selection pane="bottomRight"/>
    </sheetView>
  </sheetViews>
  <sheetFormatPr defaultRowHeight="13.2" x14ac:dyDescent="0.25"/>
  <cols>
    <col min="1" max="1" width="5.77734375" style="1" customWidth="1"/>
    <col min="2" max="2" width="44.77734375" style="1" customWidth="1"/>
    <col min="3" max="8" width="14.77734375" style="1" customWidth="1"/>
    <col min="9" max="9" width="3.77734375" style="1" customWidth="1"/>
    <col min="10" max="14" width="11.77734375" style="1" customWidth="1"/>
    <col min="15" max="16384" width="8.88671875" style="1"/>
  </cols>
  <sheetData>
    <row r="1" spans="1:14" ht="21" x14ac:dyDescent="0.4">
      <c r="A1" s="20" t="s">
        <v>186</v>
      </c>
    </row>
    <row r="2" spans="1:14" x14ac:dyDescent="0.25">
      <c r="A2" s="21" t="s">
        <v>187</v>
      </c>
    </row>
    <row r="3" spans="1:14" x14ac:dyDescent="0.25">
      <c r="J3" s="7" t="s">
        <v>196</v>
      </c>
    </row>
    <row r="4" spans="1:14" ht="42" customHeight="1" x14ac:dyDescent="0.25">
      <c r="A4" s="22" t="s">
        <v>14</v>
      </c>
      <c r="B4" s="22" t="s">
        <v>15</v>
      </c>
      <c r="C4" s="22" t="s">
        <v>22</v>
      </c>
      <c r="D4" s="22" t="s">
        <v>24</v>
      </c>
      <c r="E4" s="22" t="s">
        <v>26</v>
      </c>
      <c r="F4" s="22" t="s">
        <v>28</v>
      </c>
      <c r="G4" s="22" t="s">
        <v>30</v>
      </c>
      <c r="H4" s="22" t="s">
        <v>188</v>
      </c>
      <c r="J4" s="3" t="s">
        <v>189</v>
      </c>
      <c r="K4" s="3" t="s">
        <v>190</v>
      </c>
      <c r="L4" s="3" t="s">
        <v>191</v>
      </c>
      <c r="M4" s="3" t="s">
        <v>192</v>
      </c>
      <c r="N4" s="3" t="s">
        <v>193</v>
      </c>
    </row>
    <row r="5" spans="1:14" x14ac:dyDescent="0.25">
      <c r="A5" s="23">
        <v>1</v>
      </c>
      <c r="B5" s="24" t="str">
        <f>Evaluation!B2</f>
        <v>Securitization – entire scope</v>
      </c>
      <c r="C5" s="23" t="str">
        <f>Evaluation!E2</f>
        <v>Very High</v>
      </c>
      <c r="D5" s="23" t="str">
        <f>Evaluation!E3</f>
        <v>Medium</v>
      </c>
      <c r="E5" s="23" t="str">
        <f>Evaluation!E4</f>
        <v>High</v>
      </c>
      <c r="F5" s="23" t="str">
        <f>Evaluation!E5</f>
        <v>Very High</v>
      </c>
      <c r="G5" s="25" t="str">
        <f>Evaluation!E6</f>
        <v>High</v>
      </c>
      <c r="H5" s="26" t="str">
        <f>INDEX('Rating Scale'!$A$2:$A$6,MAX(ROUND(AVERAGE(J5:N5),0),MAX(J5:N5)-1))</f>
        <v>High</v>
      </c>
      <c r="I5" s="4"/>
      <c r="J5" s="27">
        <f>MATCH(C5,'Rating Scale'!$A$2:$A$6,0)</f>
        <v>4</v>
      </c>
      <c r="K5" s="27">
        <f>MATCH(D5,'Rating Scale'!$A$2:$A$6,0)</f>
        <v>2</v>
      </c>
      <c r="L5" s="27">
        <f>MATCH(E5,'Rating Scale'!$A$2:$A$6,0)</f>
        <v>3</v>
      </c>
      <c r="M5" s="27">
        <f>MATCH(F5,'Rating Scale'!$A$2:$A$6,0)</f>
        <v>4</v>
      </c>
      <c r="N5" s="27">
        <f>MATCH(G5,'Rating Scale'!$A$2:$A$6,0)</f>
        <v>3</v>
      </c>
    </row>
    <row r="6" spans="1:14" x14ac:dyDescent="0.25">
      <c r="A6" s="23">
        <v>2</v>
      </c>
      <c r="B6" s="24" t="str">
        <f>Evaluation!B7</f>
        <v>Supply Chain facilities</v>
      </c>
      <c r="C6" s="23" t="str">
        <f>Evaluation!E7</f>
        <v>Critical</v>
      </c>
      <c r="D6" s="23" t="str">
        <f>Evaluation!E8</f>
        <v>High</v>
      </c>
      <c r="E6" s="23" t="str">
        <f>Evaluation!E9</f>
        <v>High</v>
      </c>
      <c r="F6" s="23" t="str">
        <f>Evaluation!E10</f>
        <v>Very High</v>
      </c>
      <c r="G6" s="25" t="str">
        <f>Evaluation!E11</f>
        <v>High</v>
      </c>
      <c r="H6" s="26" t="str">
        <f>INDEX('Rating Scale'!$A$2:$A$6,MAX(ROUND(AVERAGE(J6:N6),0),MAX(J6:N6)-1))</f>
        <v>Very High</v>
      </c>
      <c r="I6" s="4"/>
      <c r="J6" s="27">
        <f>MATCH(C6,'Rating Scale'!$A$2:$A$6,0)</f>
        <v>5</v>
      </c>
      <c r="K6" s="27">
        <f>MATCH(D6,'Rating Scale'!$A$2:$A$6,0)</f>
        <v>3</v>
      </c>
      <c r="L6" s="27">
        <f>MATCH(E6,'Rating Scale'!$A$2:$A$6,0)</f>
        <v>3</v>
      </c>
      <c r="M6" s="27">
        <f>MATCH(F6,'Rating Scale'!$A$2:$A$6,0)</f>
        <v>4</v>
      </c>
      <c r="N6" s="27">
        <f>MATCH(G6,'Rating Scale'!$A$2:$A$6,0)</f>
        <v>3</v>
      </c>
    </row>
    <row r="7" spans="1:14" x14ac:dyDescent="0.25">
      <c r="A7" s="23">
        <v>3</v>
      </c>
      <c r="B7" s="24" t="str">
        <f>Evaluation!B12</f>
        <v>Growth Solutions clients</v>
      </c>
      <c r="C7" s="23" t="str">
        <f>Evaluation!E12</f>
        <v>High</v>
      </c>
      <c r="D7" s="23" t="str">
        <f>Evaluation!E13</f>
        <v>High</v>
      </c>
      <c r="E7" s="23" t="str">
        <f>Evaluation!E14</f>
        <v>High</v>
      </c>
      <c r="F7" s="23" t="str">
        <f>Evaluation!E15</f>
        <v>High</v>
      </c>
      <c r="G7" s="25" t="str">
        <f>Evaluation!E16</f>
        <v>Very High</v>
      </c>
      <c r="H7" s="26" t="str">
        <f>INDEX('Rating Scale'!$A$2:$A$6,MAX(ROUND(AVERAGE(J7:N7),0),MAX(J7:N7)-1))</f>
        <v>High</v>
      </c>
      <c r="I7" s="4"/>
      <c r="J7" s="27">
        <f>MATCH(C7,'Rating Scale'!$A$2:$A$6,0)</f>
        <v>3</v>
      </c>
      <c r="K7" s="27">
        <f>MATCH(D7,'Rating Scale'!$A$2:$A$6,0)</f>
        <v>3</v>
      </c>
      <c r="L7" s="27">
        <f>MATCH(E7,'Rating Scale'!$A$2:$A$6,0)</f>
        <v>3</v>
      </c>
      <c r="M7" s="27">
        <f>MATCH(F7,'Rating Scale'!$A$2:$A$6,0)</f>
        <v>3</v>
      </c>
      <c r="N7" s="27">
        <f>MATCH(G7,'Rating Scale'!$A$2:$A$6,0)</f>
        <v>4</v>
      </c>
    </row>
    <row r="8" spans="1:14" x14ac:dyDescent="0.25">
      <c r="A8" s="23">
        <v>4</v>
      </c>
      <c r="B8" s="24" t="str">
        <f>Evaluation!B17</f>
        <v>Information technologies (Digital infrastructure / Data centres)</v>
      </c>
      <c r="C8" s="23" t="str">
        <f>Evaluation!E17</f>
        <v>Medium</v>
      </c>
      <c r="D8" s="23" t="str">
        <f>Evaluation!E18</f>
        <v>Critical</v>
      </c>
      <c r="E8" s="23" t="str">
        <f>Evaluation!E19</f>
        <v>Very High</v>
      </c>
      <c r="F8" s="23" t="str">
        <f>Evaluation!E20</f>
        <v>Very High</v>
      </c>
      <c r="G8" s="25" t="str">
        <f>Evaluation!E21</f>
        <v>Medium</v>
      </c>
      <c r="H8" s="26" t="str">
        <f>INDEX('Rating Scale'!$A$2:$A$6,MAX(ROUND(AVERAGE(J8:N8),0),MAX(J8:N8)-1))</f>
        <v>Very High</v>
      </c>
      <c r="I8" s="4"/>
      <c r="J8" s="27">
        <f>MATCH(C8,'Rating Scale'!$A$2:$A$6,0)</f>
        <v>2</v>
      </c>
      <c r="K8" s="27">
        <f>MATCH(D8,'Rating Scale'!$A$2:$A$6,0)</f>
        <v>5</v>
      </c>
      <c r="L8" s="27">
        <f>MATCH(E8,'Rating Scale'!$A$2:$A$6,0)</f>
        <v>4</v>
      </c>
      <c r="M8" s="27">
        <f>MATCH(F8,'Rating Scale'!$A$2:$A$6,0)</f>
        <v>4</v>
      </c>
      <c r="N8" s="27">
        <f>MATCH(G8,'Rating Scale'!$A$2:$A$6,0)</f>
        <v>2</v>
      </c>
    </row>
    <row r="9" spans="1:14" x14ac:dyDescent="0.25">
      <c r="A9" s="23">
        <v>5</v>
      </c>
      <c r="B9" s="24" t="str">
        <f>Evaluation!B22</f>
        <v>Communications Services (Telecom)</v>
      </c>
      <c r="C9" s="23" t="str">
        <f>Evaluation!E22</f>
        <v>High</v>
      </c>
      <c r="D9" s="23" t="str">
        <f>Evaluation!E23</f>
        <v>Critical</v>
      </c>
      <c r="E9" s="23" t="str">
        <f>Evaluation!E24</f>
        <v>Very High</v>
      </c>
      <c r="F9" s="23" t="str">
        <f>Evaluation!E25</f>
        <v>High</v>
      </c>
      <c r="G9" s="25" t="str">
        <f>Evaluation!E26</f>
        <v>Medium</v>
      </c>
      <c r="H9" s="26" t="str">
        <f>INDEX('Rating Scale'!$A$2:$A$6,MAX(ROUND(AVERAGE(J9:N9),0),MAX(J9:N9)-1))</f>
        <v>Very High</v>
      </c>
      <c r="I9" s="4"/>
      <c r="J9" s="27">
        <f>MATCH(C9,'Rating Scale'!$A$2:$A$6,0)</f>
        <v>3</v>
      </c>
      <c r="K9" s="27">
        <f>MATCH(D9,'Rating Scale'!$A$2:$A$6,0)</f>
        <v>5</v>
      </c>
      <c r="L9" s="27">
        <f>MATCH(E9,'Rating Scale'!$A$2:$A$6,0)</f>
        <v>4</v>
      </c>
      <c r="M9" s="27">
        <f>MATCH(F9,'Rating Scale'!$A$2:$A$6,0)</f>
        <v>3</v>
      </c>
      <c r="N9" s="27">
        <f>MATCH(G9,'Rating Scale'!$A$2:$A$6,0)</f>
        <v>2</v>
      </c>
    </row>
    <row r="10" spans="1:14" x14ac:dyDescent="0.25">
      <c r="A10" s="23">
        <v>6</v>
      </c>
      <c r="B10" s="24" t="str">
        <f>Evaluation!B27</f>
        <v>Utilities (Electricity, Gas, Water, etc.)</v>
      </c>
      <c r="C10" s="23" t="str">
        <f>Evaluation!E27</f>
        <v>Medium</v>
      </c>
      <c r="D10" s="23" t="str">
        <f>Evaluation!E28</f>
        <v>Very High</v>
      </c>
      <c r="E10" s="23" t="str">
        <f>Evaluation!E29</f>
        <v>Very High</v>
      </c>
      <c r="F10" s="23" t="str">
        <f>Evaluation!E30</f>
        <v>High</v>
      </c>
      <c r="G10" s="25" t="str">
        <f>Evaluation!E31</f>
        <v>Medium</v>
      </c>
      <c r="H10" s="26" t="str">
        <f>INDEX('Rating Scale'!$A$2:$A$6,MAX(ROUND(AVERAGE(J10:N10),0),MAX(J10:N10)-1))</f>
        <v>High</v>
      </c>
      <c r="I10" s="4"/>
      <c r="J10" s="27">
        <f>MATCH(C10,'Rating Scale'!$A$2:$A$6,0)</f>
        <v>2</v>
      </c>
      <c r="K10" s="27">
        <f>MATCH(D10,'Rating Scale'!$A$2:$A$6,0)</f>
        <v>4</v>
      </c>
      <c r="L10" s="27">
        <f>MATCH(E10,'Rating Scale'!$A$2:$A$6,0)</f>
        <v>4</v>
      </c>
      <c r="M10" s="27">
        <f>MATCH(F10,'Rating Scale'!$A$2:$A$6,0)</f>
        <v>3</v>
      </c>
      <c r="N10" s="27">
        <f>MATCH(G10,'Rating Scale'!$A$2:$A$6,0)</f>
        <v>2</v>
      </c>
    </row>
    <row r="11" spans="1:14" x14ac:dyDescent="0.25">
      <c r="A11" s="23">
        <v>7</v>
      </c>
      <c r="B11" s="24" t="str">
        <f>Evaluation!B32</f>
        <v>Retail Trade</v>
      </c>
      <c r="C11" s="23" t="str">
        <f>Evaluation!E32</f>
        <v>High</v>
      </c>
      <c r="D11" s="23" t="str">
        <f>Evaluation!E33</f>
        <v>Very High</v>
      </c>
      <c r="E11" s="23" t="str">
        <f>Evaluation!E34</f>
        <v>High</v>
      </c>
      <c r="F11" s="23" t="str">
        <f>Evaluation!E35</f>
        <v>High</v>
      </c>
      <c r="G11" s="25" t="str">
        <f>Evaluation!E36</f>
        <v>Medium</v>
      </c>
      <c r="H11" s="26" t="str">
        <f>INDEX('Rating Scale'!$A$2:$A$6,MAX(ROUND(AVERAGE(J11:N11),0),MAX(J11:N11)-1))</f>
        <v>High</v>
      </c>
      <c r="I11" s="4"/>
      <c r="J11" s="27">
        <f>MATCH(C11,'Rating Scale'!$A$2:$A$6,0)</f>
        <v>3</v>
      </c>
      <c r="K11" s="27">
        <f>MATCH(D11,'Rating Scale'!$A$2:$A$6,0)</f>
        <v>4</v>
      </c>
      <c r="L11" s="27">
        <f>MATCH(E11,'Rating Scale'!$A$2:$A$6,0)</f>
        <v>3</v>
      </c>
      <c r="M11" s="27">
        <f>MATCH(F11,'Rating Scale'!$A$2:$A$6,0)</f>
        <v>3</v>
      </c>
      <c r="N11" s="27">
        <f>MATCH(G11,'Rating Scale'!$A$2:$A$6,0)</f>
        <v>2</v>
      </c>
    </row>
    <row r="12" spans="1:14" x14ac:dyDescent="0.25">
      <c r="A12" s="23">
        <v>8</v>
      </c>
      <c r="B12" s="24" t="str">
        <f>Evaluation!B37</f>
        <v>Wholesale Trade</v>
      </c>
      <c r="C12" s="23" t="str">
        <f>Evaluation!E37</f>
        <v>Very High</v>
      </c>
      <c r="D12" s="23" t="str">
        <f>Evaluation!E38</f>
        <v>Medium</v>
      </c>
      <c r="E12" s="23" t="str">
        <f>Evaluation!E39</f>
        <v>Medium</v>
      </c>
      <c r="F12" s="23" t="str">
        <f>Evaluation!E40</f>
        <v>High</v>
      </c>
      <c r="G12" s="25" t="str">
        <f>Evaluation!E41</f>
        <v>Medium</v>
      </c>
      <c r="H12" s="26" t="str">
        <f>INDEX('Rating Scale'!$A$2:$A$6,MAX(ROUND(AVERAGE(J12:N12),0),MAX(J12:N12)-1))</f>
        <v>High</v>
      </c>
      <c r="I12" s="4"/>
      <c r="J12" s="27">
        <f>MATCH(C12,'Rating Scale'!$A$2:$A$6,0)</f>
        <v>4</v>
      </c>
      <c r="K12" s="27">
        <f>MATCH(D12,'Rating Scale'!$A$2:$A$6,0)</f>
        <v>2</v>
      </c>
      <c r="L12" s="27">
        <f>MATCH(E12,'Rating Scale'!$A$2:$A$6,0)</f>
        <v>2</v>
      </c>
      <c r="M12" s="27">
        <f>MATCH(F12,'Rating Scale'!$A$2:$A$6,0)</f>
        <v>3</v>
      </c>
      <c r="N12" s="27">
        <f>MATCH(G12,'Rating Scale'!$A$2:$A$6,0)</f>
        <v>2</v>
      </c>
    </row>
    <row r="13" spans="1:14" x14ac:dyDescent="0.25">
      <c r="A13" s="23">
        <v>9</v>
      </c>
      <c r="B13" s="24" t="str">
        <f>Evaluation!B42</f>
        <v>Media &amp; Cultural Services</v>
      </c>
      <c r="C13" s="23" t="str">
        <f>Evaluation!E42</f>
        <v>Medium</v>
      </c>
      <c r="D13" s="23" t="str">
        <f>Evaluation!E43</f>
        <v>High</v>
      </c>
      <c r="E13" s="23" t="str">
        <f>Evaluation!E44</f>
        <v>Medium</v>
      </c>
      <c r="F13" s="23" t="str">
        <f>Evaluation!E45</f>
        <v>Medium</v>
      </c>
      <c r="G13" s="25" t="str">
        <f>Evaluation!E46</f>
        <v>Medium</v>
      </c>
      <c r="H13" s="26" t="str">
        <f>INDEX('Rating Scale'!$A$2:$A$6,MAX(ROUND(AVERAGE(J13:N13),0),MAX(J13:N13)-1))</f>
        <v>Medium</v>
      </c>
      <c r="I13" s="4"/>
      <c r="J13" s="27">
        <f>MATCH(C13,'Rating Scale'!$A$2:$A$6,0)</f>
        <v>2</v>
      </c>
      <c r="K13" s="27">
        <f>MATCH(D13,'Rating Scale'!$A$2:$A$6,0)</f>
        <v>3</v>
      </c>
      <c r="L13" s="27">
        <f>MATCH(E13,'Rating Scale'!$A$2:$A$6,0)</f>
        <v>2</v>
      </c>
      <c r="M13" s="27">
        <f>MATCH(F13,'Rating Scale'!$A$2:$A$6,0)</f>
        <v>2</v>
      </c>
      <c r="N13" s="27">
        <f>MATCH(G13,'Rating Scale'!$A$2:$A$6,0)</f>
        <v>2</v>
      </c>
    </row>
    <row r="14" spans="1:14" x14ac:dyDescent="0.25">
      <c r="A14" s="23">
        <v>10</v>
      </c>
      <c r="B14" s="24" t="str">
        <f>Evaluation!B47</f>
        <v>Automotive</v>
      </c>
      <c r="C14" s="23" t="str">
        <f>Evaluation!E47</f>
        <v>High</v>
      </c>
      <c r="D14" s="23" t="str">
        <f>Evaluation!E48</f>
        <v>Very High</v>
      </c>
      <c r="E14" s="23" t="str">
        <f>Evaluation!E49</f>
        <v>Very High</v>
      </c>
      <c r="F14" s="23" t="str">
        <f>Evaluation!E50</f>
        <v>Very High</v>
      </c>
      <c r="G14" s="25" t="str">
        <f>Evaluation!E51</f>
        <v>High</v>
      </c>
      <c r="H14" s="26" t="str">
        <f>INDEX('Rating Scale'!$A$2:$A$6,MAX(ROUND(AVERAGE(J14:N14),0),MAX(J14:N14)-1))</f>
        <v>Very High</v>
      </c>
      <c r="I14" s="4"/>
      <c r="J14" s="27">
        <f>MATCH(C14,'Rating Scale'!$A$2:$A$6,0)</f>
        <v>3</v>
      </c>
      <c r="K14" s="27">
        <f>MATCH(D14,'Rating Scale'!$A$2:$A$6,0)</f>
        <v>4</v>
      </c>
      <c r="L14" s="27">
        <f>MATCH(E14,'Rating Scale'!$A$2:$A$6,0)</f>
        <v>4</v>
      </c>
      <c r="M14" s="27">
        <f>MATCH(F14,'Rating Scale'!$A$2:$A$6,0)</f>
        <v>4</v>
      </c>
      <c r="N14" s="27">
        <f>MATCH(G14,'Rating Scale'!$A$2:$A$6,0)</f>
        <v>3</v>
      </c>
    </row>
    <row r="15" spans="1:14" x14ac:dyDescent="0.25">
      <c r="A15" s="23">
        <v>11</v>
      </c>
      <c r="B15" s="24" t="str">
        <f>Evaluation!B52</f>
        <v>Energy excl. Electricity</v>
      </c>
      <c r="C15" s="23" t="str">
        <f>Evaluation!E52</f>
        <v>High</v>
      </c>
      <c r="D15" s="23" t="str">
        <f>Evaluation!E53</f>
        <v>Very High</v>
      </c>
      <c r="E15" s="23" t="str">
        <f>Evaluation!E54</f>
        <v>High</v>
      </c>
      <c r="F15" s="23" t="str">
        <f>Evaluation!E55</f>
        <v>High</v>
      </c>
      <c r="G15" s="25" t="str">
        <f>Evaluation!E56</f>
        <v>High</v>
      </c>
      <c r="H15" s="26" t="str">
        <f>INDEX('Rating Scale'!$A$2:$A$6,MAX(ROUND(AVERAGE(J15:N15),0),MAX(J15:N15)-1))</f>
        <v>High</v>
      </c>
      <c r="I15" s="4"/>
      <c r="J15" s="27">
        <f>MATCH(C15,'Rating Scale'!$A$2:$A$6,0)</f>
        <v>3</v>
      </c>
      <c r="K15" s="27">
        <f>MATCH(D15,'Rating Scale'!$A$2:$A$6,0)</f>
        <v>4</v>
      </c>
      <c r="L15" s="27">
        <f>MATCH(E15,'Rating Scale'!$A$2:$A$6,0)</f>
        <v>3</v>
      </c>
      <c r="M15" s="27">
        <f>MATCH(F15,'Rating Scale'!$A$2:$A$6,0)</f>
        <v>3</v>
      </c>
      <c r="N15" s="27">
        <f>MATCH(G15,'Rating Scale'!$A$2:$A$6,0)</f>
        <v>3</v>
      </c>
    </row>
    <row r="16" spans="1:14" x14ac:dyDescent="0.25">
      <c r="A16" s="23">
        <v>12</v>
      </c>
      <c r="B16" s="24" t="str">
        <f>Evaluation!B57</f>
        <v>Transport &amp; Storage</v>
      </c>
      <c r="C16" s="23" t="str">
        <f>Evaluation!E57</f>
        <v>Medium</v>
      </c>
      <c r="D16" s="23" t="str">
        <f>Evaluation!E58</f>
        <v>Very High</v>
      </c>
      <c r="E16" s="23" t="str">
        <f>Evaluation!E59</f>
        <v>Very High</v>
      </c>
      <c r="F16" s="23" t="str">
        <f>Evaluation!E60</f>
        <v>Very High</v>
      </c>
      <c r="G16" s="25" t="str">
        <f>Evaluation!E61</f>
        <v>Medium</v>
      </c>
      <c r="H16" s="26" t="str">
        <f>INDEX('Rating Scale'!$A$2:$A$6,MAX(ROUND(AVERAGE(J16:N16),0),MAX(J16:N16)-1))</f>
        <v>High</v>
      </c>
      <c r="I16" s="4"/>
      <c r="J16" s="27">
        <f>MATCH(C16,'Rating Scale'!$A$2:$A$6,0)</f>
        <v>2</v>
      </c>
      <c r="K16" s="27">
        <f>MATCH(D16,'Rating Scale'!$A$2:$A$6,0)</f>
        <v>4</v>
      </c>
      <c r="L16" s="27">
        <f>MATCH(E16,'Rating Scale'!$A$2:$A$6,0)</f>
        <v>4</v>
      </c>
      <c r="M16" s="27">
        <f>MATCH(F16,'Rating Scale'!$A$2:$A$6,0)</f>
        <v>4</v>
      </c>
      <c r="N16" s="27">
        <f>MATCH(G16,'Rating Scale'!$A$2:$A$6,0)</f>
        <v>2</v>
      </c>
    </row>
    <row r="17" spans="1:14" x14ac:dyDescent="0.25">
      <c r="A17" s="23">
        <v>13</v>
      </c>
      <c r="B17" s="24" t="str">
        <f>Evaluation!B62</f>
        <v>Healthcare &amp; Pharmaceuticals</v>
      </c>
      <c r="C17" s="23" t="str">
        <f>Evaluation!E62</f>
        <v>High</v>
      </c>
      <c r="D17" s="23" t="str">
        <f>Evaluation!E63</f>
        <v>Critical</v>
      </c>
      <c r="E17" s="23" t="str">
        <f>Evaluation!E64</f>
        <v>Very High</v>
      </c>
      <c r="F17" s="23" t="str">
        <f>Evaluation!E65</f>
        <v>Very High</v>
      </c>
      <c r="G17" s="25" t="str">
        <f>Evaluation!E66</f>
        <v>High</v>
      </c>
      <c r="H17" s="26" t="str">
        <f>INDEX('Rating Scale'!$A$2:$A$6,MAX(ROUND(AVERAGE(J17:N17),0),MAX(J17:N17)-1))</f>
        <v>Very High</v>
      </c>
      <c r="I17" s="4"/>
      <c r="J17" s="27">
        <f>MATCH(C17,'Rating Scale'!$A$2:$A$6,0)</f>
        <v>3</v>
      </c>
      <c r="K17" s="27">
        <f>MATCH(D17,'Rating Scale'!$A$2:$A$6,0)</f>
        <v>5</v>
      </c>
      <c r="L17" s="27">
        <f>MATCH(E17,'Rating Scale'!$A$2:$A$6,0)</f>
        <v>4</v>
      </c>
      <c r="M17" s="27">
        <f>MATCH(F17,'Rating Scale'!$A$2:$A$6,0)</f>
        <v>4</v>
      </c>
      <c r="N17" s="27">
        <f>MATCH(G17,'Rating Scale'!$A$2:$A$6,0)</f>
        <v>3</v>
      </c>
    </row>
    <row r="18" spans="1:14" x14ac:dyDescent="0.25">
      <c r="A18" s="23">
        <v>14</v>
      </c>
      <c r="B18" s="24" t="str">
        <f>Evaluation!B67</f>
        <v>Chemicals excl. Pharmaceuticals</v>
      </c>
      <c r="C18" s="23" t="str">
        <f>Evaluation!E67</f>
        <v>Medium</v>
      </c>
      <c r="D18" s="23" t="str">
        <f>Evaluation!E68</f>
        <v>High</v>
      </c>
      <c r="E18" s="23" t="str">
        <f>Evaluation!E69</f>
        <v>High</v>
      </c>
      <c r="F18" s="23" t="str">
        <f>Evaluation!E70</f>
        <v>High</v>
      </c>
      <c r="G18" s="25" t="str">
        <f>Evaluation!E71</f>
        <v>Medium</v>
      </c>
      <c r="H18" s="26" t="str">
        <f>INDEX('Rating Scale'!$A$2:$A$6,MAX(ROUND(AVERAGE(J18:N18),0),MAX(J18:N18)-1))</f>
        <v>High</v>
      </c>
      <c r="I18" s="4"/>
      <c r="J18" s="27">
        <f>MATCH(C18,'Rating Scale'!$A$2:$A$6,0)</f>
        <v>2</v>
      </c>
      <c r="K18" s="27">
        <f>MATCH(D18,'Rating Scale'!$A$2:$A$6,0)</f>
        <v>3</v>
      </c>
      <c r="L18" s="27">
        <f>MATCH(E18,'Rating Scale'!$A$2:$A$6,0)</f>
        <v>3</v>
      </c>
      <c r="M18" s="27">
        <f>MATCH(F18,'Rating Scale'!$A$2:$A$6,0)</f>
        <v>3</v>
      </c>
      <c r="N18" s="27">
        <f>MATCH(G18,'Rating Scale'!$A$2:$A$6,0)</f>
        <v>2</v>
      </c>
    </row>
    <row r="19" spans="1:14" x14ac:dyDescent="0.25">
      <c r="A19" s="23">
        <v>15</v>
      </c>
      <c r="B19" s="24" t="str">
        <f>Evaluation!B72</f>
        <v>Real Estate</v>
      </c>
      <c r="C19" s="23" t="str">
        <f>Evaluation!E72</f>
        <v>High</v>
      </c>
      <c r="D19" s="23" t="str">
        <f>Evaluation!E73</f>
        <v>Medium</v>
      </c>
      <c r="E19" s="23" t="str">
        <f>Evaluation!E74</f>
        <v>Medium</v>
      </c>
      <c r="F19" s="23" t="str">
        <f>Evaluation!E75</f>
        <v>Medium</v>
      </c>
      <c r="G19" s="25" t="str">
        <f>Evaluation!E76</f>
        <v>High</v>
      </c>
      <c r="H19" s="26" t="str">
        <f>INDEX('Rating Scale'!$A$2:$A$6,MAX(ROUND(AVERAGE(J19:N19),0),MAX(J19:N19)-1))</f>
        <v>Medium</v>
      </c>
      <c r="I19" s="4"/>
      <c r="J19" s="27">
        <f>MATCH(C19,'Rating Scale'!$A$2:$A$6,0)</f>
        <v>3</v>
      </c>
      <c r="K19" s="27">
        <f>MATCH(D19,'Rating Scale'!$A$2:$A$6,0)</f>
        <v>2</v>
      </c>
      <c r="L19" s="27">
        <f>MATCH(E19,'Rating Scale'!$A$2:$A$6,0)</f>
        <v>2</v>
      </c>
      <c r="M19" s="27">
        <f>MATCH(F19,'Rating Scale'!$A$2:$A$6,0)</f>
        <v>2</v>
      </c>
      <c r="N19" s="27">
        <f>MATCH(G19,'Rating Scale'!$A$2:$A$6,0)</f>
        <v>3</v>
      </c>
    </row>
    <row r="20" spans="1:14" x14ac:dyDescent="0.25">
      <c r="A20" s="23">
        <v>16</v>
      </c>
      <c r="B20" s="24" t="str">
        <f>Evaluation!B77</f>
        <v>Equipments excl. IT</v>
      </c>
      <c r="C20" s="23" t="str">
        <f>Evaluation!E77</f>
        <v>Medium</v>
      </c>
      <c r="D20" s="23" t="str">
        <f>Evaluation!E78</f>
        <v>High</v>
      </c>
      <c r="E20" s="23" t="str">
        <f>Evaluation!E79</f>
        <v>High</v>
      </c>
      <c r="F20" s="23" t="str">
        <f>Evaluation!E80</f>
        <v>High</v>
      </c>
      <c r="G20" s="25" t="str">
        <f>Evaluation!E81</f>
        <v>Medium</v>
      </c>
      <c r="H20" s="26" t="str">
        <f>INDEX('Rating Scale'!$A$2:$A$6,MAX(ROUND(AVERAGE(J20:N20),0),MAX(J20:N20)-1))</f>
        <v>High</v>
      </c>
      <c r="I20" s="4"/>
      <c r="J20" s="27">
        <f>MATCH(C20,'Rating Scale'!$A$2:$A$6,0)</f>
        <v>2</v>
      </c>
      <c r="K20" s="27">
        <f>MATCH(D20,'Rating Scale'!$A$2:$A$6,0)</f>
        <v>3</v>
      </c>
      <c r="L20" s="27">
        <f>MATCH(E20,'Rating Scale'!$A$2:$A$6,0)</f>
        <v>3</v>
      </c>
      <c r="M20" s="27">
        <f>MATCH(F20,'Rating Scale'!$A$2:$A$6,0)</f>
        <v>3</v>
      </c>
      <c r="N20" s="27">
        <f>MATCH(G20,'Rating Scale'!$A$2:$A$6,0)</f>
        <v>2</v>
      </c>
    </row>
    <row r="21" spans="1:14" x14ac:dyDescent="0.25">
      <c r="A21" s="23">
        <v>17</v>
      </c>
      <c r="B21" s="24" t="str">
        <f>Evaluation!B82</f>
        <v>Materials &amp; Ores</v>
      </c>
      <c r="C21" s="23" t="str">
        <f>Evaluation!E82</f>
        <v>High</v>
      </c>
      <c r="D21" s="23" t="str">
        <f>Evaluation!E83</f>
        <v>High</v>
      </c>
      <c r="E21" s="23" t="str">
        <f>Evaluation!E84</f>
        <v>High</v>
      </c>
      <c r="F21" s="23" t="str">
        <f>Evaluation!E85</f>
        <v>High</v>
      </c>
      <c r="G21" s="25" t="str">
        <f>Evaluation!E86</f>
        <v>High</v>
      </c>
      <c r="H21" s="26" t="str">
        <f>INDEX('Rating Scale'!$A$2:$A$6,MAX(ROUND(AVERAGE(J21:N21),0),MAX(J21:N21)-1))</f>
        <v>High</v>
      </c>
      <c r="I21" s="4"/>
      <c r="J21" s="27">
        <f>MATCH(C21,'Rating Scale'!$A$2:$A$6,0)</f>
        <v>3</v>
      </c>
      <c r="K21" s="27">
        <f>MATCH(D21,'Rating Scale'!$A$2:$A$6,0)</f>
        <v>3</v>
      </c>
      <c r="L21" s="27">
        <f>MATCH(E21,'Rating Scale'!$A$2:$A$6,0)</f>
        <v>3</v>
      </c>
      <c r="M21" s="27">
        <f>MATCH(F21,'Rating Scale'!$A$2:$A$6,0)</f>
        <v>3</v>
      </c>
      <c r="N21" s="27">
        <f>MATCH(G21,'Rating Scale'!$A$2:$A$6,0)</f>
        <v>3</v>
      </c>
    </row>
    <row r="22" spans="1:14" x14ac:dyDescent="0.25">
      <c r="A22" s="23">
        <v>18</v>
      </c>
      <c r="B22" s="24" t="str">
        <f>Evaluation!B87</f>
        <v>Agriculture, Food, Tobacco</v>
      </c>
      <c r="C22" s="23" t="str">
        <f>Evaluation!E87</f>
        <v>High</v>
      </c>
      <c r="D22" s="23" t="str">
        <f>Evaluation!E88</f>
        <v>High</v>
      </c>
      <c r="E22" s="23" t="str">
        <f>Evaluation!E89</f>
        <v>High</v>
      </c>
      <c r="F22" s="23" t="str">
        <f>Evaluation!E90</f>
        <v>High</v>
      </c>
      <c r="G22" s="25" t="str">
        <f>Evaluation!E91</f>
        <v>Medium</v>
      </c>
      <c r="H22" s="26" t="str">
        <f>INDEX('Rating Scale'!$A$2:$A$6,MAX(ROUND(AVERAGE(J22:N22),0),MAX(J22:N22)-1))</f>
        <v>High</v>
      </c>
      <c r="I22" s="4"/>
      <c r="J22" s="27">
        <f>MATCH(C22,'Rating Scale'!$A$2:$A$6,0)</f>
        <v>3</v>
      </c>
      <c r="K22" s="27">
        <f>MATCH(D22,'Rating Scale'!$A$2:$A$6,0)</f>
        <v>3</v>
      </c>
      <c r="L22" s="27">
        <f>MATCH(E22,'Rating Scale'!$A$2:$A$6,0)</f>
        <v>3</v>
      </c>
      <c r="M22" s="27">
        <f>MATCH(F22,'Rating Scale'!$A$2:$A$6,0)</f>
        <v>3</v>
      </c>
      <c r="N22" s="27">
        <f>MATCH(G22,'Rating Scale'!$A$2:$A$6,0)</f>
        <v>2</v>
      </c>
    </row>
    <row r="23" spans="1:14" x14ac:dyDescent="0.25">
      <c r="A23" s="23">
        <v>19</v>
      </c>
      <c r="B23" s="24" t="str">
        <f>Evaluation!B92</f>
        <v>Building &amp; Public Works</v>
      </c>
      <c r="C23" s="23" t="str">
        <f>Evaluation!E92</f>
        <v>Very High</v>
      </c>
      <c r="D23" s="23" t="str">
        <f>Evaluation!E93</f>
        <v>Medium</v>
      </c>
      <c r="E23" s="23" t="str">
        <f>Evaluation!E94</f>
        <v>High</v>
      </c>
      <c r="F23" s="23" t="str">
        <f>Evaluation!E95</f>
        <v>Very High</v>
      </c>
      <c r="G23" s="25" t="str">
        <f>Evaluation!E96</f>
        <v>High</v>
      </c>
      <c r="H23" s="26" t="str">
        <f>INDEX('Rating Scale'!$A$2:$A$6,MAX(ROUND(AVERAGE(J23:N23),0),MAX(J23:N23)-1))</f>
        <v>High</v>
      </c>
      <c r="I23" s="4"/>
      <c r="J23" s="27">
        <f>MATCH(C23,'Rating Scale'!$A$2:$A$6,0)</f>
        <v>4</v>
      </c>
      <c r="K23" s="27">
        <f>MATCH(D23,'Rating Scale'!$A$2:$A$6,0)</f>
        <v>2</v>
      </c>
      <c r="L23" s="27">
        <f>MATCH(E23,'Rating Scale'!$A$2:$A$6,0)</f>
        <v>3</v>
      </c>
      <c r="M23" s="27">
        <f>MATCH(F23,'Rating Scale'!$A$2:$A$6,0)</f>
        <v>4</v>
      </c>
      <c r="N23" s="27">
        <f>MATCH(G23,'Rating Scale'!$A$2:$A$6,0)</f>
        <v>3</v>
      </c>
    </row>
    <row r="24" spans="1:14" x14ac:dyDescent="0.25">
      <c r="A24" s="23">
        <v>20</v>
      </c>
      <c r="B24" s="24" t="str">
        <f>Evaluation!B97</f>
        <v>Hotels, Tourism, Leisure</v>
      </c>
      <c r="C24" s="23" t="str">
        <f>Evaluation!E97</f>
        <v>Medium</v>
      </c>
      <c r="D24" s="23" t="str">
        <f>Evaluation!E98</f>
        <v>High</v>
      </c>
      <c r="E24" s="23" t="str">
        <f>Evaluation!E99</f>
        <v>Medium</v>
      </c>
      <c r="F24" s="23" t="str">
        <f>Evaluation!E100</f>
        <v>High</v>
      </c>
      <c r="G24" s="25" t="str">
        <f>Evaluation!E101</f>
        <v>Medium</v>
      </c>
      <c r="H24" s="26" t="str">
        <f>INDEX('Rating Scale'!$A$2:$A$6,MAX(ROUND(AVERAGE(J24:N24),0),MAX(J24:N24)-1))</f>
        <v>Medium</v>
      </c>
      <c r="I24" s="4"/>
      <c r="J24" s="27">
        <f>MATCH(C24,'Rating Scale'!$A$2:$A$6,0)</f>
        <v>2</v>
      </c>
      <c r="K24" s="27">
        <f>MATCH(D24,'Rating Scale'!$A$2:$A$6,0)</f>
        <v>3</v>
      </c>
      <c r="L24" s="27">
        <f>MATCH(E24,'Rating Scale'!$A$2:$A$6,0)</f>
        <v>2</v>
      </c>
      <c r="M24" s="27">
        <f>MATCH(F24,'Rating Scale'!$A$2:$A$6,0)</f>
        <v>3</v>
      </c>
      <c r="N24" s="27">
        <f>MATCH(G24,'Rating Scale'!$A$2:$A$6,0)</f>
        <v>2</v>
      </c>
    </row>
    <row r="25" spans="1:14" x14ac:dyDescent="0.25">
      <c r="A25" s="23">
        <v>21</v>
      </c>
      <c r="B25" s="24" t="str">
        <f>Evaluation!B102</f>
        <v>Personal &amp; Household Services</v>
      </c>
      <c r="C25" s="23" t="str">
        <f>Evaluation!E102</f>
        <v>Medium</v>
      </c>
      <c r="D25" s="23" t="str">
        <f>Evaluation!E103</f>
        <v>Medium</v>
      </c>
      <c r="E25" s="23" t="str">
        <f>Evaluation!E104</f>
        <v>Low</v>
      </c>
      <c r="F25" s="23" t="str">
        <f>Evaluation!E105</f>
        <v>Medium</v>
      </c>
      <c r="G25" s="25" t="str">
        <f>Evaluation!E106</f>
        <v>Medium</v>
      </c>
      <c r="H25" s="26" t="str">
        <f>INDEX('Rating Scale'!$A$2:$A$6,MAX(ROUND(AVERAGE(J25:N25),0),MAX(J25:N25)-1))</f>
        <v>Medium</v>
      </c>
      <c r="I25" s="4"/>
      <c r="J25" s="27">
        <f>MATCH(C25,'Rating Scale'!$A$2:$A$6,0)</f>
        <v>2</v>
      </c>
      <c r="K25" s="27">
        <f>MATCH(D25,'Rating Scale'!$A$2:$A$6,0)</f>
        <v>2</v>
      </c>
      <c r="L25" s="27">
        <f>MATCH(E25,'Rating Scale'!$A$2:$A$6,0)</f>
        <v>1</v>
      </c>
      <c r="M25" s="27">
        <f>MATCH(F25,'Rating Scale'!$A$2:$A$6,0)</f>
        <v>2</v>
      </c>
      <c r="N25" s="27">
        <f>MATCH(G25,'Rating Scale'!$A$2:$A$6,0)</f>
        <v>2</v>
      </c>
    </row>
    <row r="26" spans="1:14" x14ac:dyDescent="0.25">
      <c r="A26" s="23">
        <v>22</v>
      </c>
      <c r="B26" s="24" t="str">
        <f>Evaluation!B107</f>
        <v>Household Goods</v>
      </c>
      <c r="C26" s="23" t="str">
        <f>Evaluation!E107</f>
        <v>Medium</v>
      </c>
      <c r="D26" s="23" t="str">
        <f>Evaluation!E108</f>
        <v>Medium</v>
      </c>
      <c r="E26" s="23" t="str">
        <f>Evaluation!E109</f>
        <v>Medium</v>
      </c>
      <c r="F26" s="23" t="str">
        <f>Evaluation!E110</f>
        <v>Medium</v>
      </c>
      <c r="G26" s="25" t="str">
        <f>Evaluation!E111</f>
        <v>Low</v>
      </c>
      <c r="H26" s="26" t="str">
        <f>INDEX('Rating Scale'!$A$2:$A$6,MAX(ROUND(AVERAGE(J26:N26),0),MAX(J26:N26)-1))</f>
        <v>Medium</v>
      </c>
      <c r="I26" s="4"/>
      <c r="J26" s="27">
        <f>MATCH(C26,'Rating Scale'!$A$2:$A$6,0)</f>
        <v>2</v>
      </c>
      <c r="K26" s="27">
        <f>MATCH(D26,'Rating Scale'!$A$2:$A$6,0)</f>
        <v>2</v>
      </c>
      <c r="L26" s="27">
        <f>MATCH(E26,'Rating Scale'!$A$2:$A$6,0)</f>
        <v>2</v>
      </c>
      <c r="M26" s="27">
        <f>MATCH(F26,'Rating Scale'!$A$2:$A$6,0)</f>
        <v>2</v>
      </c>
      <c r="N26" s="27">
        <f>MATCH(G26,'Rating Scale'!$A$2:$A$6,0)</f>
        <v>1</v>
      </c>
    </row>
    <row r="27" spans="1:14" x14ac:dyDescent="0.25">
      <c r="A27" s="23">
        <v>23</v>
      </c>
      <c r="B27" s="24" t="str">
        <f>Evaluation!B112</f>
        <v>Business Services</v>
      </c>
      <c r="C27" s="23" t="str">
        <f>Evaluation!E112</f>
        <v>High</v>
      </c>
      <c r="D27" s="23" t="str">
        <f>Evaluation!E113</f>
        <v>Very High</v>
      </c>
      <c r="E27" s="23" t="str">
        <f>Evaluation!E114</f>
        <v>High</v>
      </c>
      <c r="F27" s="23" t="str">
        <f>Evaluation!E115</f>
        <v>Very High</v>
      </c>
      <c r="G27" s="25" t="str">
        <f>Evaluation!E116</f>
        <v>Medium</v>
      </c>
      <c r="H27" s="26" t="str">
        <f>INDEX('Rating Scale'!$A$2:$A$6,MAX(ROUND(AVERAGE(J27:N27),0),MAX(J27:N27)-1))</f>
        <v>High</v>
      </c>
      <c r="I27" s="4"/>
      <c r="J27" s="27">
        <f>MATCH(C27,'Rating Scale'!$A$2:$A$6,0)</f>
        <v>3</v>
      </c>
      <c r="K27" s="27">
        <f>MATCH(D27,'Rating Scale'!$A$2:$A$6,0)</f>
        <v>4</v>
      </c>
      <c r="L27" s="27">
        <f>MATCH(E27,'Rating Scale'!$A$2:$A$6,0)</f>
        <v>3</v>
      </c>
      <c r="M27" s="27">
        <f>MATCH(F27,'Rating Scale'!$A$2:$A$6,0)</f>
        <v>4</v>
      </c>
      <c r="N27" s="27">
        <f>MATCH(G27,'Rating Scale'!$A$2:$A$6,0)</f>
        <v>2</v>
      </c>
    </row>
    <row r="29" spans="1:14" x14ac:dyDescent="0.25">
      <c r="B29" s="2" t="s">
        <v>194</v>
      </c>
    </row>
    <row r="30" spans="1:14" ht="39.6" x14ac:dyDescent="0.25">
      <c r="B30" s="22" t="s">
        <v>0</v>
      </c>
      <c r="C30" s="22" t="s">
        <v>22</v>
      </c>
      <c r="D30" s="22" t="s">
        <v>24</v>
      </c>
      <c r="E30" s="22" t="s">
        <v>26</v>
      </c>
      <c r="F30" s="22" t="s">
        <v>28</v>
      </c>
      <c r="G30" s="22" t="s">
        <v>30</v>
      </c>
      <c r="H30" s="22" t="s">
        <v>188</v>
      </c>
    </row>
    <row r="31" spans="1:14" x14ac:dyDescent="0.25">
      <c r="B31" s="28" t="s">
        <v>11</v>
      </c>
      <c r="C31" s="23">
        <f>COUNTIF(C$5:C$27,$B31)</f>
        <v>1</v>
      </c>
      <c r="D31" s="23">
        <f>COUNTIF(D$5:D$27,$B31)</f>
        <v>3</v>
      </c>
      <c r="E31" s="23">
        <f>COUNTIF(E$5:E$27,$B31)</f>
        <v>0</v>
      </c>
      <c r="F31" s="23">
        <f>COUNTIF(F$5:F$27,$B31)</f>
        <v>0</v>
      </c>
      <c r="G31" s="23">
        <f>COUNTIF(G$5:G$27,$B31)</f>
        <v>0</v>
      </c>
      <c r="H31" s="23">
        <f>COUNTIF(H$5:H$27,$B31)</f>
        <v>0</v>
      </c>
    </row>
    <row r="32" spans="1:14" x14ac:dyDescent="0.25">
      <c r="B32" s="28" t="s">
        <v>9</v>
      </c>
      <c r="C32" s="23">
        <f>COUNTIF(C$5:C$27,$B32)</f>
        <v>3</v>
      </c>
      <c r="D32" s="23">
        <f>COUNTIF(D$5:D$27,$B32)</f>
        <v>6</v>
      </c>
      <c r="E32" s="23">
        <f>COUNTIF(E$5:E$27,$B32)</f>
        <v>6</v>
      </c>
      <c r="F32" s="23">
        <f>COUNTIF(F$5:F$27,$B32)</f>
        <v>8</v>
      </c>
      <c r="G32" s="23">
        <f>COUNTIF(G$5:G$27,$B32)</f>
        <v>1</v>
      </c>
      <c r="H32" s="23">
        <f>COUNTIF(H$5:H$27,$B32)</f>
        <v>5</v>
      </c>
    </row>
    <row r="33" spans="2:8" x14ac:dyDescent="0.25">
      <c r="B33" s="28" t="s">
        <v>7</v>
      </c>
      <c r="C33" s="23">
        <f>COUNTIF(C$5:C$27,$B33)</f>
        <v>10</v>
      </c>
      <c r="D33" s="23">
        <f>COUNTIF(D$5:D$27,$B33)</f>
        <v>8</v>
      </c>
      <c r="E33" s="23">
        <f>COUNTIF(E$5:E$27,$B33)</f>
        <v>11</v>
      </c>
      <c r="F33" s="23">
        <f>COUNTIF(F$5:F$27,$B33)</f>
        <v>11</v>
      </c>
      <c r="G33" s="23">
        <f>COUNTIF(G$5:G$27,$B33)</f>
        <v>8</v>
      </c>
      <c r="H33" s="23">
        <f>COUNTIF(H$5:H$27,$B33)</f>
        <v>13</v>
      </c>
    </row>
    <row r="34" spans="2:8" x14ac:dyDescent="0.25">
      <c r="B34" s="28" t="s">
        <v>5</v>
      </c>
      <c r="C34" s="23">
        <f>COUNTIF(C$5:C$27,$B34)</f>
        <v>9</v>
      </c>
      <c r="D34" s="23">
        <f>COUNTIF(D$5:D$27,$B34)</f>
        <v>6</v>
      </c>
      <c r="E34" s="23">
        <f>COUNTIF(E$5:E$27,$B34)</f>
        <v>5</v>
      </c>
      <c r="F34" s="23">
        <f>COUNTIF(F$5:F$27,$B34)</f>
        <v>4</v>
      </c>
      <c r="G34" s="23">
        <f>COUNTIF(G$5:G$27,$B34)</f>
        <v>13</v>
      </c>
      <c r="H34" s="23">
        <f>COUNTIF(H$5:H$27,$B34)</f>
        <v>5</v>
      </c>
    </row>
    <row r="35" spans="2:8" x14ac:dyDescent="0.25">
      <c r="B35" s="28" t="s">
        <v>3</v>
      </c>
      <c r="C35" s="23">
        <f>COUNTIF(C$5:C$27,$B35)</f>
        <v>0</v>
      </c>
      <c r="D35" s="23">
        <f>COUNTIF(D$5:D$27,$B35)</f>
        <v>0</v>
      </c>
      <c r="E35" s="23">
        <f>COUNTIF(E$5:E$27,$B35)</f>
        <v>1</v>
      </c>
      <c r="F35" s="23">
        <f>COUNTIF(F$5:F$27,$B35)</f>
        <v>0</v>
      </c>
      <c r="G35" s="23">
        <f>COUNTIF(G$5:G$27,$B35)</f>
        <v>1</v>
      </c>
      <c r="H35" s="23">
        <f>COUNTIF(H$5:H$27,$B35)</f>
        <v>0</v>
      </c>
    </row>
    <row r="36" spans="2:8" x14ac:dyDescent="0.25">
      <c r="B36" s="29" t="s">
        <v>195</v>
      </c>
      <c r="C36" s="30">
        <f>SUM(C31:C35)</f>
        <v>23</v>
      </c>
      <c r="D36" s="30">
        <f>SUM(D31:D35)</f>
        <v>23</v>
      </c>
      <c r="E36" s="30">
        <f>SUM(E31:E35)</f>
        <v>23</v>
      </c>
      <c r="F36" s="30">
        <f>SUM(F31:F35)</f>
        <v>23</v>
      </c>
      <c r="G36" s="30">
        <f>SUM(G31:G35)</f>
        <v>23</v>
      </c>
      <c r="H36" s="30">
        <f>SUM(H31:H35)</f>
        <v>23</v>
      </c>
    </row>
  </sheetData>
  <conditionalFormatting sqref="C5:H27">
    <cfRule type="cellIs" dxfId="9" priority="1" stopIfTrue="1" operator="equal">
      <formula>"Low"</formula>
    </cfRule>
    <cfRule type="cellIs" dxfId="8" priority="2" stopIfTrue="1" operator="equal">
      <formula>"Critical"</formula>
    </cfRule>
    <cfRule type="cellIs" dxfId="7" priority="3" stopIfTrue="1" operator="equal">
      <formula>"Very High"</formula>
    </cfRule>
    <cfRule type="cellIs" dxfId="6" priority="4" stopIfTrue="1" operator="equal">
      <formula>"Medium"</formula>
    </cfRule>
    <cfRule type="cellIs" dxfId="5" priority="5" stopIfTrue="1" operator="equal">
      <formula>"High"</formula>
    </cfRule>
  </conditionalFormatting>
  <conditionalFormatting sqref="B31:B35">
    <cfRule type="cellIs" dxfId="4" priority="6" stopIfTrue="1" operator="equal">
      <formula>"Low"</formula>
    </cfRule>
    <cfRule type="cellIs" dxfId="3" priority="7" stopIfTrue="1" operator="equal">
      <formula>"Critical"</formula>
    </cfRule>
    <cfRule type="cellIs" dxfId="2" priority="8" stopIfTrue="1" operator="equal">
      <formula>"Very High"</formula>
    </cfRule>
    <cfRule type="cellIs" dxfId="1" priority="9" stopIfTrue="1" operator="equal">
      <formula>"Medium"</formula>
    </cfRule>
    <cfRule type="cellIs" dxfId="0" priority="10" stopIfTrue="1" operator="equal">
      <formula>"High"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EF8B-7D9E-4C83-9DDF-350CFE1CE287}">
  <dimension ref="A1:G116"/>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3.2" x14ac:dyDescent="0.25"/>
  <cols>
    <col min="1" max="1" width="5.77734375" style="1" customWidth="1"/>
    <col min="2" max="2" width="26.77734375" style="1" customWidth="1"/>
    <col min="3" max="3" width="32.77734375" style="1" customWidth="1"/>
    <col min="4" max="4" width="22.77734375" style="1" customWidth="1"/>
    <col min="5" max="5" width="12.77734375" style="1" customWidth="1"/>
    <col min="6" max="6" width="105.77734375" style="1" customWidth="1"/>
    <col min="7" max="7" width="11.77734375" style="1" customWidth="1"/>
    <col min="8" max="16384" width="8.88671875" style="1"/>
  </cols>
  <sheetData>
    <row r="1" spans="1:7" ht="52.8" x14ac:dyDescent="0.25">
      <c r="A1" s="3" t="s">
        <v>14</v>
      </c>
      <c r="B1" s="3" t="s">
        <v>15</v>
      </c>
      <c r="C1" s="3" t="s">
        <v>16</v>
      </c>
      <c r="D1" s="3" t="s">
        <v>17</v>
      </c>
      <c r="E1" s="3" t="s">
        <v>0</v>
      </c>
      <c r="F1" s="3" t="s">
        <v>18</v>
      </c>
      <c r="G1" s="3" t="s">
        <v>19</v>
      </c>
    </row>
    <row r="2" spans="1:7" ht="79.2" x14ac:dyDescent="0.25">
      <c r="A2" s="11">
        <v>1</v>
      </c>
      <c r="B2" s="12" t="s">
        <v>20</v>
      </c>
      <c r="C2" s="13" t="s">
        <v>21</v>
      </c>
      <c r="D2" s="12" t="s">
        <v>22</v>
      </c>
      <c r="E2" s="11" t="s">
        <v>9</v>
      </c>
      <c r="F2" s="12" t="s">
        <v>23</v>
      </c>
      <c r="G2" s="11">
        <f>LEN(F2)-LEN(SUBSTITUTE(F2,CHAR(10),""))+1</f>
        <v>6</v>
      </c>
    </row>
    <row r="3" spans="1:7" ht="66" x14ac:dyDescent="0.25">
      <c r="A3" s="8">
        <v>1</v>
      </c>
      <c r="B3" s="9" t="s">
        <v>20</v>
      </c>
      <c r="C3" s="10" t="s">
        <v>21</v>
      </c>
      <c r="D3" s="9" t="s">
        <v>24</v>
      </c>
      <c r="E3" s="8" t="s">
        <v>5</v>
      </c>
      <c r="F3" s="9" t="s">
        <v>25</v>
      </c>
      <c r="G3" s="8">
        <f>LEN(F3)-LEN(SUBSTITUTE(F3,CHAR(10),""))+1</f>
        <v>5</v>
      </c>
    </row>
    <row r="4" spans="1:7" ht="66" x14ac:dyDescent="0.25">
      <c r="A4" s="8">
        <v>1</v>
      </c>
      <c r="B4" s="9" t="s">
        <v>20</v>
      </c>
      <c r="C4" s="10" t="s">
        <v>21</v>
      </c>
      <c r="D4" s="9" t="s">
        <v>26</v>
      </c>
      <c r="E4" s="8" t="s">
        <v>7</v>
      </c>
      <c r="F4" s="9" t="s">
        <v>27</v>
      </c>
      <c r="G4" s="8">
        <f>LEN(F4)-LEN(SUBSTITUTE(F4,CHAR(10),""))+1</f>
        <v>5</v>
      </c>
    </row>
    <row r="5" spans="1:7" ht="66" x14ac:dyDescent="0.25">
      <c r="A5" s="8">
        <v>1</v>
      </c>
      <c r="B5" s="9" t="s">
        <v>20</v>
      </c>
      <c r="C5" s="10" t="s">
        <v>21</v>
      </c>
      <c r="D5" s="9" t="s">
        <v>28</v>
      </c>
      <c r="E5" s="8" t="s">
        <v>9</v>
      </c>
      <c r="F5" s="9" t="s">
        <v>29</v>
      </c>
      <c r="G5" s="8">
        <f>LEN(F5)-LEN(SUBSTITUTE(F5,CHAR(10),""))+1</f>
        <v>5</v>
      </c>
    </row>
    <row r="6" spans="1:7" ht="66" x14ac:dyDescent="0.25">
      <c r="A6" s="8">
        <v>1</v>
      </c>
      <c r="B6" s="9" t="s">
        <v>20</v>
      </c>
      <c r="C6" s="10" t="s">
        <v>21</v>
      </c>
      <c r="D6" s="9" t="s">
        <v>30</v>
      </c>
      <c r="E6" s="8" t="s">
        <v>7</v>
      </c>
      <c r="F6" s="9" t="s">
        <v>31</v>
      </c>
      <c r="G6" s="8">
        <f>LEN(F6)-LEN(SUBSTITUTE(F6,CHAR(10),""))+1</f>
        <v>5</v>
      </c>
    </row>
    <row r="7" spans="1:7" ht="105.6" x14ac:dyDescent="0.25">
      <c r="A7" s="17">
        <v>2</v>
      </c>
      <c r="B7" s="18" t="s">
        <v>32</v>
      </c>
      <c r="C7" s="19" t="s">
        <v>33</v>
      </c>
      <c r="D7" s="18" t="s">
        <v>22</v>
      </c>
      <c r="E7" s="17" t="s">
        <v>11</v>
      </c>
      <c r="F7" s="18" t="s">
        <v>34</v>
      </c>
      <c r="G7" s="17">
        <f>LEN(F7)-LEN(SUBSTITUTE(F7,CHAR(10),""))+1</f>
        <v>6</v>
      </c>
    </row>
    <row r="8" spans="1:7" ht="66" x14ac:dyDescent="0.25">
      <c r="A8" s="14">
        <v>2</v>
      </c>
      <c r="B8" s="15" t="s">
        <v>32</v>
      </c>
      <c r="C8" s="16" t="s">
        <v>33</v>
      </c>
      <c r="D8" s="15" t="s">
        <v>24</v>
      </c>
      <c r="E8" s="14" t="s">
        <v>7</v>
      </c>
      <c r="F8" s="15" t="s">
        <v>35</v>
      </c>
      <c r="G8" s="14">
        <f>LEN(F8)-LEN(SUBSTITUTE(F8,CHAR(10),""))+1</f>
        <v>5</v>
      </c>
    </row>
    <row r="9" spans="1:7" ht="66" x14ac:dyDescent="0.25">
      <c r="A9" s="14">
        <v>2</v>
      </c>
      <c r="B9" s="15" t="s">
        <v>32</v>
      </c>
      <c r="C9" s="16" t="s">
        <v>33</v>
      </c>
      <c r="D9" s="15" t="s">
        <v>26</v>
      </c>
      <c r="E9" s="14" t="s">
        <v>7</v>
      </c>
      <c r="F9" s="15" t="s">
        <v>36</v>
      </c>
      <c r="G9" s="14">
        <f>LEN(F9)-LEN(SUBSTITUTE(F9,CHAR(10),""))+1</f>
        <v>5</v>
      </c>
    </row>
    <row r="10" spans="1:7" ht="66" x14ac:dyDescent="0.25">
      <c r="A10" s="14">
        <v>2</v>
      </c>
      <c r="B10" s="15" t="s">
        <v>32</v>
      </c>
      <c r="C10" s="16" t="s">
        <v>33</v>
      </c>
      <c r="D10" s="15" t="s">
        <v>28</v>
      </c>
      <c r="E10" s="14" t="s">
        <v>9</v>
      </c>
      <c r="F10" s="15" t="s">
        <v>37</v>
      </c>
      <c r="G10" s="14">
        <f>LEN(F10)-LEN(SUBSTITUTE(F10,CHAR(10),""))+1</f>
        <v>5</v>
      </c>
    </row>
    <row r="11" spans="1:7" ht="66" x14ac:dyDescent="0.25">
      <c r="A11" s="14">
        <v>2</v>
      </c>
      <c r="B11" s="15" t="s">
        <v>32</v>
      </c>
      <c r="C11" s="16" t="s">
        <v>33</v>
      </c>
      <c r="D11" s="15" t="s">
        <v>30</v>
      </c>
      <c r="E11" s="14" t="s">
        <v>7</v>
      </c>
      <c r="F11" s="15" t="s">
        <v>38</v>
      </c>
      <c r="G11" s="14">
        <f>LEN(F11)-LEN(SUBSTITUTE(F11,CHAR(10),""))+1</f>
        <v>5</v>
      </c>
    </row>
    <row r="12" spans="1:7" ht="79.2" x14ac:dyDescent="0.25">
      <c r="A12" s="11">
        <v>3</v>
      </c>
      <c r="B12" s="12" t="s">
        <v>39</v>
      </c>
      <c r="C12" s="13" t="s">
        <v>40</v>
      </c>
      <c r="D12" s="12" t="s">
        <v>22</v>
      </c>
      <c r="E12" s="11" t="s">
        <v>7</v>
      </c>
      <c r="F12" s="12" t="s">
        <v>41</v>
      </c>
      <c r="G12" s="11">
        <f>LEN(F12)-LEN(SUBSTITUTE(F12,CHAR(10),""))+1</f>
        <v>6</v>
      </c>
    </row>
    <row r="13" spans="1:7" ht="66" x14ac:dyDescent="0.25">
      <c r="A13" s="8">
        <v>3</v>
      </c>
      <c r="B13" s="9" t="s">
        <v>39</v>
      </c>
      <c r="C13" s="10" t="s">
        <v>40</v>
      </c>
      <c r="D13" s="9" t="s">
        <v>24</v>
      </c>
      <c r="E13" s="8" t="s">
        <v>7</v>
      </c>
      <c r="F13" s="9" t="s">
        <v>42</v>
      </c>
      <c r="G13" s="8">
        <f>LEN(F13)-LEN(SUBSTITUTE(F13,CHAR(10),""))+1</f>
        <v>5</v>
      </c>
    </row>
    <row r="14" spans="1:7" ht="66" x14ac:dyDescent="0.25">
      <c r="A14" s="8">
        <v>3</v>
      </c>
      <c r="B14" s="9" t="s">
        <v>39</v>
      </c>
      <c r="C14" s="10" t="s">
        <v>40</v>
      </c>
      <c r="D14" s="9" t="s">
        <v>26</v>
      </c>
      <c r="E14" s="8" t="s">
        <v>7</v>
      </c>
      <c r="F14" s="9" t="s">
        <v>43</v>
      </c>
      <c r="G14" s="8">
        <f>LEN(F14)-LEN(SUBSTITUTE(F14,CHAR(10),""))+1</f>
        <v>5</v>
      </c>
    </row>
    <row r="15" spans="1:7" ht="66" x14ac:dyDescent="0.25">
      <c r="A15" s="8">
        <v>3</v>
      </c>
      <c r="B15" s="9" t="s">
        <v>39</v>
      </c>
      <c r="C15" s="10" t="s">
        <v>40</v>
      </c>
      <c r="D15" s="9" t="s">
        <v>28</v>
      </c>
      <c r="E15" s="8" t="s">
        <v>7</v>
      </c>
      <c r="F15" s="9" t="s">
        <v>44</v>
      </c>
      <c r="G15" s="8">
        <f>LEN(F15)-LEN(SUBSTITUTE(F15,CHAR(10),""))+1</f>
        <v>5</v>
      </c>
    </row>
    <row r="16" spans="1:7" ht="79.2" x14ac:dyDescent="0.25">
      <c r="A16" s="8">
        <v>3</v>
      </c>
      <c r="B16" s="9" t="s">
        <v>39</v>
      </c>
      <c r="C16" s="10" t="s">
        <v>40</v>
      </c>
      <c r="D16" s="9" t="s">
        <v>30</v>
      </c>
      <c r="E16" s="8" t="s">
        <v>9</v>
      </c>
      <c r="F16" s="9" t="s">
        <v>45</v>
      </c>
      <c r="G16" s="8">
        <f>LEN(F16)-LEN(SUBSTITUTE(F16,CHAR(10),""))+1</f>
        <v>6</v>
      </c>
    </row>
    <row r="17" spans="1:7" ht="66" x14ac:dyDescent="0.25">
      <c r="A17" s="17">
        <v>4</v>
      </c>
      <c r="B17" s="18" t="s">
        <v>46</v>
      </c>
      <c r="C17" s="19" t="s">
        <v>47</v>
      </c>
      <c r="D17" s="18" t="s">
        <v>22</v>
      </c>
      <c r="E17" s="17" t="s">
        <v>5</v>
      </c>
      <c r="F17" s="18" t="s">
        <v>48</v>
      </c>
      <c r="G17" s="17">
        <f>LEN(F17)-LEN(SUBSTITUTE(F17,CHAR(10),""))+1</f>
        <v>5</v>
      </c>
    </row>
    <row r="18" spans="1:7" ht="66" x14ac:dyDescent="0.25">
      <c r="A18" s="14">
        <v>4</v>
      </c>
      <c r="B18" s="15" t="s">
        <v>46</v>
      </c>
      <c r="C18" s="16" t="s">
        <v>47</v>
      </c>
      <c r="D18" s="15" t="s">
        <v>24</v>
      </c>
      <c r="E18" s="14" t="s">
        <v>11</v>
      </c>
      <c r="F18" s="15" t="s">
        <v>49</v>
      </c>
      <c r="G18" s="14">
        <f>LEN(F18)-LEN(SUBSTITUTE(F18,CHAR(10),""))+1</f>
        <v>5</v>
      </c>
    </row>
    <row r="19" spans="1:7" ht="66" x14ac:dyDescent="0.25">
      <c r="A19" s="14">
        <v>4</v>
      </c>
      <c r="B19" s="15" t="s">
        <v>46</v>
      </c>
      <c r="C19" s="16" t="s">
        <v>47</v>
      </c>
      <c r="D19" s="15" t="s">
        <v>26</v>
      </c>
      <c r="E19" s="14" t="s">
        <v>9</v>
      </c>
      <c r="F19" s="15" t="s">
        <v>50</v>
      </c>
      <c r="G19" s="14">
        <f>LEN(F19)-LEN(SUBSTITUTE(F19,CHAR(10),""))+1</f>
        <v>5</v>
      </c>
    </row>
    <row r="20" spans="1:7" ht="66" x14ac:dyDescent="0.25">
      <c r="A20" s="14">
        <v>4</v>
      </c>
      <c r="B20" s="15" t="s">
        <v>46</v>
      </c>
      <c r="C20" s="16" t="s">
        <v>47</v>
      </c>
      <c r="D20" s="15" t="s">
        <v>28</v>
      </c>
      <c r="E20" s="14" t="s">
        <v>9</v>
      </c>
      <c r="F20" s="15" t="s">
        <v>51</v>
      </c>
      <c r="G20" s="14">
        <f>LEN(F20)-LEN(SUBSTITUTE(F20,CHAR(10),""))+1</f>
        <v>5</v>
      </c>
    </row>
    <row r="21" spans="1:7" ht="66" x14ac:dyDescent="0.25">
      <c r="A21" s="14">
        <v>4</v>
      </c>
      <c r="B21" s="15" t="s">
        <v>46</v>
      </c>
      <c r="C21" s="16" t="s">
        <v>47</v>
      </c>
      <c r="D21" s="15" t="s">
        <v>30</v>
      </c>
      <c r="E21" s="14" t="s">
        <v>5</v>
      </c>
      <c r="F21" s="15" t="s">
        <v>52</v>
      </c>
      <c r="G21" s="14">
        <f>LEN(F21)-LEN(SUBSTITUTE(F21,CHAR(10),""))+1</f>
        <v>5</v>
      </c>
    </row>
    <row r="22" spans="1:7" ht="66" x14ac:dyDescent="0.25">
      <c r="A22" s="11">
        <v>5</v>
      </c>
      <c r="B22" s="12" t="s">
        <v>53</v>
      </c>
      <c r="C22" s="13" t="s">
        <v>54</v>
      </c>
      <c r="D22" s="12" t="s">
        <v>22</v>
      </c>
      <c r="E22" s="11" t="s">
        <v>7</v>
      </c>
      <c r="F22" s="12" t="s">
        <v>55</v>
      </c>
      <c r="G22" s="11">
        <f>LEN(F22)-LEN(SUBSTITUTE(F22,CHAR(10),""))+1</f>
        <v>5</v>
      </c>
    </row>
    <row r="23" spans="1:7" ht="66" x14ac:dyDescent="0.25">
      <c r="A23" s="8">
        <v>5</v>
      </c>
      <c r="B23" s="9" t="s">
        <v>53</v>
      </c>
      <c r="C23" s="10" t="s">
        <v>54</v>
      </c>
      <c r="D23" s="9" t="s">
        <v>24</v>
      </c>
      <c r="E23" s="8" t="s">
        <v>11</v>
      </c>
      <c r="F23" s="9" t="s">
        <v>56</v>
      </c>
      <c r="G23" s="8">
        <f>LEN(F23)-LEN(SUBSTITUTE(F23,CHAR(10),""))+1</f>
        <v>5</v>
      </c>
    </row>
    <row r="24" spans="1:7" ht="66" x14ac:dyDescent="0.25">
      <c r="A24" s="8">
        <v>5</v>
      </c>
      <c r="B24" s="9" t="s">
        <v>53</v>
      </c>
      <c r="C24" s="10" t="s">
        <v>54</v>
      </c>
      <c r="D24" s="9" t="s">
        <v>26</v>
      </c>
      <c r="E24" s="8" t="s">
        <v>9</v>
      </c>
      <c r="F24" s="9" t="s">
        <v>57</v>
      </c>
      <c r="G24" s="8">
        <f>LEN(F24)-LEN(SUBSTITUTE(F24,CHAR(10),""))+1</f>
        <v>5</v>
      </c>
    </row>
    <row r="25" spans="1:7" ht="66" x14ac:dyDescent="0.25">
      <c r="A25" s="8">
        <v>5</v>
      </c>
      <c r="B25" s="9" t="s">
        <v>53</v>
      </c>
      <c r="C25" s="10" t="s">
        <v>54</v>
      </c>
      <c r="D25" s="9" t="s">
        <v>28</v>
      </c>
      <c r="E25" s="8" t="s">
        <v>7</v>
      </c>
      <c r="F25" s="9" t="s">
        <v>58</v>
      </c>
      <c r="G25" s="8">
        <f>LEN(F25)-LEN(SUBSTITUTE(F25,CHAR(10),""))+1</f>
        <v>5</v>
      </c>
    </row>
    <row r="26" spans="1:7" ht="66" x14ac:dyDescent="0.25">
      <c r="A26" s="8">
        <v>5</v>
      </c>
      <c r="B26" s="9" t="s">
        <v>53</v>
      </c>
      <c r="C26" s="10" t="s">
        <v>54</v>
      </c>
      <c r="D26" s="9" t="s">
        <v>30</v>
      </c>
      <c r="E26" s="8" t="s">
        <v>5</v>
      </c>
      <c r="F26" s="9" t="s">
        <v>59</v>
      </c>
      <c r="G26" s="8">
        <f>LEN(F26)-LEN(SUBSTITUTE(F26,CHAR(10),""))+1</f>
        <v>5</v>
      </c>
    </row>
    <row r="27" spans="1:7" ht="66" x14ac:dyDescent="0.25">
      <c r="A27" s="17">
        <v>6</v>
      </c>
      <c r="B27" s="18" t="s">
        <v>60</v>
      </c>
      <c r="C27" s="19" t="s">
        <v>61</v>
      </c>
      <c r="D27" s="18" t="s">
        <v>22</v>
      </c>
      <c r="E27" s="17" t="s">
        <v>5</v>
      </c>
      <c r="F27" s="18" t="s">
        <v>62</v>
      </c>
      <c r="G27" s="17">
        <f>LEN(F27)-LEN(SUBSTITUTE(F27,CHAR(10),""))+1</f>
        <v>5</v>
      </c>
    </row>
    <row r="28" spans="1:7" ht="66" x14ac:dyDescent="0.25">
      <c r="A28" s="14">
        <v>6</v>
      </c>
      <c r="B28" s="15" t="s">
        <v>60</v>
      </c>
      <c r="C28" s="16" t="s">
        <v>61</v>
      </c>
      <c r="D28" s="15" t="s">
        <v>24</v>
      </c>
      <c r="E28" s="14" t="s">
        <v>9</v>
      </c>
      <c r="F28" s="15" t="s">
        <v>63</v>
      </c>
      <c r="G28" s="14">
        <f>LEN(F28)-LEN(SUBSTITUTE(F28,CHAR(10),""))+1</f>
        <v>5</v>
      </c>
    </row>
    <row r="29" spans="1:7" ht="66" x14ac:dyDescent="0.25">
      <c r="A29" s="14">
        <v>6</v>
      </c>
      <c r="B29" s="15" t="s">
        <v>60</v>
      </c>
      <c r="C29" s="16" t="s">
        <v>61</v>
      </c>
      <c r="D29" s="15" t="s">
        <v>26</v>
      </c>
      <c r="E29" s="14" t="s">
        <v>9</v>
      </c>
      <c r="F29" s="15" t="s">
        <v>64</v>
      </c>
      <c r="G29" s="14">
        <f>LEN(F29)-LEN(SUBSTITUTE(F29,CHAR(10),""))+1</f>
        <v>5</v>
      </c>
    </row>
    <row r="30" spans="1:7" ht="66" x14ac:dyDescent="0.25">
      <c r="A30" s="14">
        <v>6</v>
      </c>
      <c r="B30" s="15" t="s">
        <v>60</v>
      </c>
      <c r="C30" s="16" t="s">
        <v>61</v>
      </c>
      <c r="D30" s="15" t="s">
        <v>28</v>
      </c>
      <c r="E30" s="14" t="s">
        <v>7</v>
      </c>
      <c r="F30" s="15" t="s">
        <v>65</v>
      </c>
      <c r="G30" s="14">
        <f>LEN(F30)-LEN(SUBSTITUTE(F30,CHAR(10),""))+1</f>
        <v>5</v>
      </c>
    </row>
    <row r="31" spans="1:7" ht="66" x14ac:dyDescent="0.25">
      <c r="A31" s="14">
        <v>6</v>
      </c>
      <c r="B31" s="15" t="s">
        <v>60</v>
      </c>
      <c r="C31" s="16" t="s">
        <v>61</v>
      </c>
      <c r="D31" s="15" t="s">
        <v>30</v>
      </c>
      <c r="E31" s="14" t="s">
        <v>5</v>
      </c>
      <c r="F31" s="15" t="s">
        <v>66</v>
      </c>
      <c r="G31" s="14">
        <f>LEN(F31)-LEN(SUBSTITUTE(F31,CHAR(10),""))+1</f>
        <v>5</v>
      </c>
    </row>
    <row r="32" spans="1:7" ht="66" x14ac:dyDescent="0.25">
      <c r="A32" s="11">
        <v>7</v>
      </c>
      <c r="B32" s="12" t="s">
        <v>67</v>
      </c>
      <c r="C32" s="13" t="s">
        <v>68</v>
      </c>
      <c r="D32" s="12" t="s">
        <v>22</v>
      </c>
      <c r="E32" s="11" t="s">
        <v>7</v>
      </c>
      <c r="F32" s="12" t="s">
        <v>69</v>
      </c>
      <c r="G32" s="11">
        <f>LEN(F32)-LEN(SUBSTITUTE(F32,CHAR(10),""))+1</f>
        <v>5</v>
      </c>
    </row>
    <row r="33" spans="1:7" ht="66" x14ac:dyDescent="0.25">
      <c r="A33" s="8">
        <v>7</v>
      </c>
      <c r="B33" s="9" t="s">
        <v>67</v>
      </c>
      <c r="C33" s="10" t="s">
        <v>68</v>
      </c>
      <c r="D33" s="9" t="s">
        <v>24</v>
      </c>
      <c r="E33" s="8" t="s">
        <v>9</v>
      </c>
      <c r="F33" s="9" t="s">
        <v>70</v>
      </c>
      <c r="G33" s="8">
        <f>LEN(F33)-LEN(SUBSTITUTE(F33,CHAR(10),""))+1</f>
        <v>5</v>
      </c>
    </row>
    <row r="34" spans="1:7" ht="66" x14ac:dyDescent="0.25">
      <c r="A34" s="8">
        <v>7</v>
      </c>
      <c r="B34" s="9" t="s">
        <v>67</v>
      </c>
      <c r="C34" s="10" t="s">
        <v>68</v>
      </c>
      <c r="D34" s="9" t="s">
        <v>26</v>
      </c>
      <c r="E34" s="8" t="s">
        <v>7</v>
      </c>
      <c r="F34" s="9" t="s">
        <v>71</v>
      </c>
      <c r="G34" s="8">
        <f>LEN(F34)-LEN(SUBSTITUTE(F34,CHAR(10),""))+1</f>
        <v>5</v>
      </c>
    </row>
    <row r="35" spans="1:7" ht="66" x14ac:dyDescent="0.25">
      <c r="A35" s="8">
        <v>7</v>
      </c>
      <c r="B35" s="9" t="s">
        <v>67</v>
      </c>
      <c r="C35" s="10" t="s">
        <v>68</v>
      </c>
      <c r="D35" s="9" t="s">
        <v>28</v>
      </c>
      <c r="E35" s="8" t="s">
        <v>7</v>
      </c>
      <c r="F35" s="9" t="s">
        <v>72</v>
      </c>
      <c r="G35" s="8">
        <f>LEN(F35)-LEN(SUBSTITUTE(F35,CHAR(10),""))+1</f>
        <v>5</v>
      </c>
    </row>
    <row r="36" spans="1:7" ht="66" x14ac:dyDescent="0.25">
      <c r="A36" s="8">
        <v>7</v>
      </c>
      <c r="B36" s="9" t="s">
        <v>67</v>
      </c>
      <c r="C36" s="10" t="s">
        <v>68</v>
      </c>
      <c r="D36" s="9" t="s">
        <v>30</v>
      </c>
      <c r="E36" s="8" t="s">
        <v>5</v>
      </c>
      <c r="F36" s="9" t="s">
        <v>73</v>
      </c>
      <c r="G36" s="8">
        <f>LEN(F36)-LEN(SUBSTITUTE(F36,CHAR(10),""))+1</f>
        <v>5</v>
      </c>
    </row>
    <row r="37" spans="1:7" ht="66" x14ac:dyDescent="0.25">
      <c r="A37" s="17">
        <v>8</v>
      </c>
      <c r="B37" s="18" t="s">
        <v>74</v>
      </c>
      <c r="C37" s="19" t="s">
        <v>75</v>
      </c>
      <c r="D37" s="18" t="s">
        <v>22</v>
      </c>
      <c r="E37" s="17" t="s">
        <v>9</v>
      </c>
      <c r="F37" s="18" t="s">
        <v>76</v>
      </c>
      <c r="G37" s="17">
        <f>LEN(F37)-LEN(SUBSTITUTE(F37,CHAR(10),""))+1</f>
        <v>5</v>
      </c>
    </row>
    <row r="38" spans="1:7" ht="66" x14ac:dyDescent="0.25">
      <c r="A38" s="14">
        <v>8</v>
      </c>
      <c r="B38" s="15" t="s">
        <v>74</v>
      </c>
      <c r="C38" s="16" t="s">
        <v>75</v>
      </c>
      <c r="D38" s="15" t="s">
        <v>24</v>
      </c>
      <c r="E38" s="14" t="s">
        <v>5</v>
      </c>
      <c r="F38" s="15" t="s">
        <v>77</v>
      </c>
      <c r="G38" s="14">
        <f>LEN(F38)-LEN(SUBSTITUTE(F38,CHAR(10),""))+1</f>
        <v>5</v>
      </c>
    </row>
    <row r="39" spans="1:7" ht="66" x14ac:dyDescent="0.25">
      <c r="A39" s="14">
        <v>8</v>
      </c>
      <c r="B39" s="15" t="s">
        <v>74</v>
      </c>
      <c r="C39" s="16" t="s">
        <v>75</v>
      </c>
      <c r="D39" s="15" t="s">
        <v>26</v>
      </c>
      <c r="E39" s="14" t="s">
        <v>5</v>
      </c>
      <c r="F39" s="15" t="s">
        <v>78</v>
      </c>
      <c r="G39" s="14">
        <f>LEN(F39)-LEN(SUBSTITUTE(F39,CHAR(10),""))+1</f>
        <v>5</v>
      </c>
    </row>
    <row r="40" spans="1:7" ht="66" x14ac:dyDescent="0.25">
      <c r="A40" s="14">
        <v>8</v>
      </c>
      <c r="B40" s="15" t="s">
        <v>74</v>
      </c>
      <c r="C40" s="16" t="s">
        <v>75</v>
      </c>
      <c r="D40" s="15" t="s">
        <v>28</v>
      </c>
      <c r="E40" s="14" t="s">
        <v>7</v>
      </c>
      <c r="F40" s="15" t="s">
        <v>79</v>
      </c>
      <c r="G40" s="14">
        <f>LEN(F40)-LEN(SUBSTITUTE(F40,CHAR(10),""))+1</f>
        <v>5</v>
      </c>
    </row>
    <row r="41" spans="1:7" ht="66" x14ac:dyDescent="0.25">
      <c r="A41" s="14">
        <v>8</v>
      </c>
      <c r="B41" s="15" t="s">
        <v>74</v>
      </c>
      <c r="C41" s="16" t="s">
        <v>75</v>
      </c>
      <c r="D41" s="15" t="s">
        <v>30</v>
      </c>
      <c r="E41" s="14" t="s">
        <v>5</v>
      </c>
      <c r="F41" s="15" t="s">
        <v>80</v>
      </c>
      <c r="G41" s="14">
        <f>LEN(F41)-LEN(SUBSTITUTE(F41,CHAR(10),""))+1</f>
        <v>5</v>
      </c>
    </row>
    <row r="42" spans="1:7" ht="66" x14ac:dyDescent="0.25">
      <c r="A42" s="11">
        <v>9</v>
      </c>
      <c r="B42" s="12" t="s">
        <v>81</v>
      </c>
      <c r="C42" s="13" t="s">
        <v>82</v>
      </c>
      <c r="D42" s="12" t="s">
        <v>22</v>
      </c>
      <c r="E42" s="11" t="s">
        <v>5</v>
      </c>
      <c r="F42" s="12" t="s">
        <v>83</v>
      </c>
      <c r="G42" s="11">
        <f>LEN(F42)-LEN(SUBSTITUTE(F42,CHAR(10),""))+1</f>
        <v>5</v>
      </c>
    </row>
    <row r="43" spans="1:7" ht="66" x14ac:dyDescent="0.25">
      <c r="A43" s="8">
        <v>9</v>
      </c>
      <c r="B43" s="9" t="s">
        <v>81</v>
      </c>
      <c r="C43" s="10" t="s">
        <v>82</v>
      </c>
      <c r="D43" s="9" t="s">
        <v>24</v>
      </c>
      <c r="E43" s="8" t="s">
        <v>7</v>
      </c>
      <c r="F43" s="9" t="s">
        <v>84</v>
      </c>
      <c r="G43" s="8">
        <f>LEN(F43)-LEN(SUBSTITUTE(F43,CHAR(10),""))+1</f>
        <v>5</v>
      </c>
    </row>
    <row r="44" spans="1:7" ht="66" x14ac:dyDescent="0.25">
      <c r="A44" s="8">
        <v>9</v>
      </c>
      <c r="B44" s="9" t="s">
        <v>81</v>
      </c>
      <c r="C44" s="10" t="s">
        <v>82</v>
      </c>
      <c r="D44" s="9" t="s">
        <v>26</v>
      </c>
      <c r="E44" s="8" t="s">
        <v>5</v>
      </c>
      <c r="F44" s="9" t="s">
        <v>85</v>
      </c>
      <c r="G44" s="8">
        <f>LEN(F44)-LEN(SUBSTITUTE(F44,CHAR(10),""))+1</f>
        <v>5</v>
      </c>
    </row>
    <row r="45" spans="1:7" ht="66" x14ac:dyDescent="0.25">
      <c r="A45" s="8">
        <v>9</v>
      </c>
      <c r="B45" s="9" t="s">
        <v>81</v>
      </c>
      <c r="C45" s="10" t="s">
        <v>82</v>
      </c>
      <c r="D45" s="9" t="s">
        <v>28</v>
      </c>
      <c r="E45" s="8" t="s">
        <v>5</v>
      </c>
      <c r="F45" s="9" t="s">
        <v>86</v>
      </c>
      <c r="G45" s="8">
        <f>LEN(F45)-LEN(SUBSTITUTE(F45,CHAR(10),""))+1</f>
        <v>5</v>
      </c>
    </row>
    <row r="46" spans="1:7" ht="66" x14ac:dyDescent="0.25">
      <c r="A46" s="8">
        <v>9</v>
      </c>
      <c r="B46" s="9" t="s">
        <v>81</v>
      </c>
      <c r="C46" s="10" t="s">
        <v>82</v>
      </c>
      <c r="D46" s="9" t="s">
        <v>30</v>
      </c>
      <c r="E46" s="8" t="s">
        <v>5</v>
      </c>
      <c r="F46" s="9" t="s">
        <v>87</v>
      </c>
      <c r="G46" s="8">
        <f>LEN(F46)-LEN(SUBSTITUTE(F46,CHAR(10),""))+1</f>
        <v>5</v>
      </c>
    </row>
    <row r="47" spans="1:7" ht="66" x14ac:dyDescent="0.25">
      <c r="A47" s="17">
        <v>10</v>
      </c>
      <c r="B47" s="18" t="s">
        <v>88</v>
      </c>
      <c r="C47" s="19" t="s">
        <v>89</v>
      </c>
      <c r="D47" s="18" t="s">
        <v>22</v>
      </c>
      <c r="E47" s="17" t="s">
        <v>7</v>
      </c>
      <c r="F47" s="18" t="s">
        <v>90</v>
      </c>
      <c r="G47" s="17">
        <f>LEN(F47)-LEN(SUBSTITUTE(F47,CHAR(10),""))+1</f>
        <v>5</v>
      </c>
    </row>
    <row r="48" spans="1:7" ht="66" x14ac:dyDescent="0.25">
      <c r="A48" s="14">
        <v>10</v>
      </c>
      <c r="B48" s="15" t="s">
        <v>88</v>
      </c>
      <c r="C48" s="16" t="s">
        <v>89</v>
      </c>
      <c r="D48" s="15" t="s">
        <v>24</v>
      </c>
      <c r="E48" s="14" t="s">
        <v>9</v>
      </c>
      <c r="F48" s="15" t="s">
        <v>91</v>
      </c>
      <c r="G48" s="14">
        <f>LEN(F48)-LEN(SUBSTITUTE(F48,CHAR(10),""))+1</f>
        <v>5</v>
      </c>
    </row>
    <row r="49" spans="1:7" ht="66" x14ac:dyDescent="0.25">
      <c r="A49" s="14">
        <v>10</v>
      </c>
      <c r="B49" s="15" t="s">
        <v>88</v>
      </c>
      <c r="C49" s="16" t="s">
        <v>89</v>
      </c>
      <c r="D49" s="15" t="s">
        <v>26</v>
      </c>
      <c r="E49" s="14" t="s">
        <v>9</v>
      </c>
      <c r="F49" s="15" t="s">
        <v>92</v>
      </c>
      <c r="G49" s="14">
        <f>LEN(F49)-LEN(SUBSTITUTE(F49,CHAR(10),""))+1</f>
        <v>5</v>
      </c>
    </row>
    <row r="50" spans="1:7" ht="66" x14ac:dyDescent="0.25">
      <c r="A50" s="14">
        <v>10</v>
      </c>
      <c r="B50" s="15" t="s">
        <v>88</v>
      </c>
      <c r="C50" s="16" t="s">
        <v>89</v>
      </c>
      <c r="D50" s="15" t="s">
        <v>28</v>
      </c>
      <c r="E50" s="14" t="s">
        <v>9</v>
      </c>
      <c r="F50" s="15" t="s">
        <v>93</v>
      </c>
      <c r="G50" s="14">
        <f>LEN(F50)-LEN(SUBSTITUTE(F50,CHAR(10),""))+1</f>
        <v>5</v>
      </c>
    </row>
    <row r="51" spans="1:7" ht="66" x14ac:dyDescent="0.25">
      <c r="A51" s="14">
        <v>10</v>
      </c>
      <c r="B51" s="15" t="s">
        <v>88</v>
      </c>
      <c r="C51" s="16" t="s">
        <v>89</v>
      </c>
      <c r="D51" s="15" t="s">
        <v>30</v>
      </c>
      <c r="E51" s="14" t="s">
        <v>7</v>
      </c>
      <c r="F51" s="15" t="s">
        <v>94</v>
      </c>
      <c r="G51" s="14">
        <f>LEN(F51)-LEN(SUBSTITUTE(F51,CHAR(10),""))+1</f>
        <v>5</v>
      </c>
    </row>
    <row r="52" spans="1:7" ht="66" x14ac:dyDescent="0.25">
      <c r="A52" s="11">
        <v>11</v>
      </c>
      <c r="B52" s="12" t="s">
        <v>95</v>
      </c>
      <c r="C52" s="13" t="s">
        <v>96</v>
      </c>
      <c r="D52" s="12" t="s">
        <v>22</v>
      </c>
      <c r="E52" s="11" t="s">
        <v>7</v>
      </c>
      <c r="F52" s="12" t="s">
        <v>97</v>
      </c>
      <c r="G52" s="11">
        <f>LEN(F52)-LEN(SUBSTITUTE(F52,CHAR(10),""))+1</f>
        <v>5</v>
      </c>
    </row>
    <row r="53" spans="1:7" ht="66" x14ac:dyDescent="0.25">
      <c r="A53" s="8">
        <v>11</v>
      </c>
      <c r="B53" s="9" t="s">
        <v>95</v>
      </c>
      <c r="C53" s="10" t="s">
        <v>96</v>
      </c>
      <c r="D53" s="9" t="s">
        <v>24</v>
      </c>
      <c r="E53" s="8" t="s">
        <v>9</v>
      </c>
      <c r="F53" s="9" t="s">
        <v>98</v>
      </c>
      <c r="G53" s="8">
        <f>LEN(F53)-LEN(SUBSTITUTE(F53,CHAR(10),""))+1</f>
        <v>5</v>
      </c>
    </row>
    <row r="54" spans="1:7" ht="66" x14ac:dyDescent="0.25">
      <c r="A54" s="8">
        <v>11</v>
      </c>
      <c r="B54" s="9" t="s">
        <v>95</v>
      </c>
      <c r="C54" s="10" t="s">
        <v>96</v>
      </c>
      <c r="D54" s="9" t="s">
        <v>26</v>
      </c>
      <c r="E54" s="8" t="s">
        <v>7</v>
      </c>
      <c r="F54" s="9" t="s">
        <v>99</v>
      </c>
      <c r="G54" s="8">
        <f>LEN(F54)-LEN(SUBSTITUTE(F54,CHAR(10),""))+1</f>
        <v>5</v>
      </c>
    </row>
    <row r="55" spans="1:7" ht="66" x14ac:dyDescent="0.25">
      <c r="A55" s="8">
        <v>11</v>
      </c>
      <c r="B55" s="9" t="s">
        <v>95</v>
      </c>
      <c r="C55" s="10" t="s">
        <v>96</v>
      </c>
      <c r="D55" s="9" t="s">
        <v>28</v>
      </c>
      <c r="E55" s="8" t="s">
        <v>7</v>
      </c>
      <c r="F55" s="9" t="s">
        <v>100</v>
      </c>
      <c r="G55" s="8">
        <f>LEN(F55)-LEN(SUBSTITUTE(F55,CHAR(10),""))+1</f>
        <v>5</v>
      </c>
    </row>
    <row r="56" spans="1:7" ht="66" x14ac:dyDescent="0.25">
      <c r="A56" s="8">
        <v>11</v>
      </c>
      <c r="B56" s="9" t="s">
        <v>95</v>
      </c>
      <c r="C56" s="10" t="s">
        <v>96</v>
      </c>
      <c r="D56" s="9" t="s">
        <v>30</v>
      </c>
      <c r="E56" s="8" t="s">
        <v>7</v>
      </c>
      <c r="F56" s="9" t="s">
        <v>101</v>
      </c>
      <c r="G56" s="8">
        <f>LEN(F56)-LEN(SUBSTITUTE(F56,CHAR(10),""))+1</f>
        <v>5</v>
      </c>
    </row>
    <row r="57" spans="1:7" ht="66" x14ac:dyDescent="0.25">
      <c r="A57" s="17">
        <v>12</v>
      </c>
      <c r="B57" s="18" t="s">
        <v>102</v>
      </c>
      <c r="C57" s="19" t="s">
        <v>103</v>
      </c>
      <c r="D57" s="18" t="s">
        <v>22</v>
      </c>
      <c r="E57" s="17" t="s">
        <v>5</v>
      </c>
      <c r="F57" s="18" t="s">
        <v>104</v>
      </c>
      <c r="G57" s="17">
        <f>LEN(F57)-LEN(SUBSTITUTE(F57,CHAR(10),""))+1</f>
        <v>5</v>
      </c>
    </row>
    <row r="58" spans="1:7" ht="66" x14ac:dyDescent="0.25">
      <c r="A58" s="14">
        <v>12</v>
      </c>
      <c r="B58" s="15" t="s">
        <v>102</v>
      </c>
      <c r="C58" s="16" t="s">
        <v>103</v>
      </c>
      <c r="D58" s="15" t="s">
        <v>24</v>
      </c>
      <c r="E58" s="14" t="s">
        <v>9</v>
      </c>
      <c r="F58" s="15" t="s">
        <v>105</v>
      </c>
      <c r="G58" s="14">
        <f>LEN(F58)-LEN(SUBSTITUTE(F58,CHAR(10),""))+1</f>
        <v>5</v>
      </c>
    </row>
    <row r="59" spans="1:7" ht="66" x14ac:dyDescent="0.25">
      <c r="A59" s="14">
        <v>12</v>
      </c>
      <c r="B59" s="15" t="s">
        <v>102</v>
      </c>
      <c r="C59" s="16" t="s">
        <v>103</v>
      </c>
      <c r="D59" s="15" t="s">
        <v>26</v>
      </c>
      <c r="E59" s="14" t="s">
        <v>9</v>
      </c>
      <c r="F59" s="15" t="s">
        <v>106</v>
      </c>
      <c r="G59" s="14">
        <f>LEN(F59)-LEN(SUBSTITUTE(F59,CHAR(10),""))+1</f>
        <v>5</v>
      </c>
    </row>
    <row r="60" spans="1:7" ht="66" x14ac:dyDescent="0.25">
      <c r="A60" s="14">
        <v>12</v>
      </c>
      <c r="B60" s="15" t="s">
        <v>102</v>
      </c>
      <c r="C60" s="16" t="s">
        <v>103</v>
      </c>
      <c r="D60" s="15" t="s">
        <v>28</v>
      </c>
      <c r="E60" s="14" t="s">
        <v>9</v>
      </c>
      <c r="F60" s="15" t="s">
        <v>107</v>
      </c>
      <c r="G60" s="14">
        <f>LEN(F60)-LEN(SUBSTITUTE(F60,CHAR(10),""))+1</f>
        <v>5</v>
      </c>
    </row>
    <row r="61" spans="1:7" ht="66" x14ac:dyDescent="0.25">
      <c r="A61" s="14">
        <v>12</v>
      </c>
      <c r="B61" s="15" t="s">
        <v>102</v>
      </c>
      <c r="C61" s="16" t="s">
        <v>103</v>
      </c>
      <c r="D61" s="15" t="s">
        <v>30</v>
      </c>
      <c r="E61" s="14" t="s">
        <v>5</v>
      </c>
      <c r="F61" s="15" t="s">
        <v>108</v>
      </c>
      <c r="G61" s="14">
        <f>LEN(F61)-LEN(SUBSTITUTE(F61,CHAR(10),""))+1</f>
        <v>5</v>
      </c>
    </row>
    <row r="62" spans="1:7" ht="66" x14ac:dyDescent="0.25">
      <c r="A62" s="11">
        <v>13</v>
      </c>
      <c r="B62" s="12" t="s">
        <v>109</v>
      </c>
      <c r="C62" s="13" t="s">
        <v>110</v>
      </c>
      <c r="D62" s="12" t="s">
        <v>22</v>
      </c>
      <c r="E62" s="11" t="s">
        <v>7</v>
      </c>
      <c r="F62" s="12" t="s">
        <v>111</v>
      </c>
      <c r="G62" s="11">
        <f>LEN(F62)-LEN(SUBSTITUTE(F62,CHAR(10),""))+1</f>
        <v>5</v>
      </c>
    </row>
    <row r="63" spans="1:7" ht="66" x14ac:dyDescent="0.25">
      <c r="A63" s="8">
        <v>13</v>
      </c>
      <c r="B63" s="9" t="s">
        <v>109</v>
      </c>
      <c r="C63" s="10" t="s">
        <v>110</v>
      </c>
      <c r="D63" s="9" t="s">
        <v>24</v>
      </c>
      <c r="E63" s="8" t="s">
        <v>11</v>
      </c>
      <c r="F63" s="9" t="s">
        <v>112</v>
      </c>
      <c r="G63" s="8">
        <f>LEN(F63)-LEN(SUBSTITUTE(F63,CHAR(10),""))+1</f>
        <v>5</v>
      </c>
    </row>
    <row r="64" spans="1:7" ht="66" x14ac:dyDescent="0.25">
      <c r="A64" s="8">
        <v>13</v>
      </c>
      <c r="B64" s="9" t="s">
        <v>109</v>
      </c>
      <c r="C64" s="10" t="s">
        <v>110</v>
      </c>
      <c r="D64" s="9" t="s">
        <v>26</v>
      </c>
      <c r="E64" s="8" t="s">
        <v>9</v>
      </c>
      <c r="F64" s="9" t="s">
        <v>113</v>
      </c>
      <c r="G64" s="8">
        <f>LEN(F64)-LEN(SUBSTITUTE(F64,CHAR(10),""))+1</f>
        <v>5</v>
      </c>
    </row>
    <row r="65" spans="1:7" ht="66" x14ac:dyDescent="0.25">
      <c r="A65" s="8">
        <v>13</v>
      </c>
      <c r="B65" s="9" t="s">
        <v>109</v>
      </c>
      <c r="C65" s="10" t="s">
        <v>110</v>
      </c>
      <c r="D65" s="9" t="s">
        <v>28</v>
      </c>
      <c r="E65" s="8" t="s">
        <v>9</v>
      </c>
      <c r="F65" s="9" t="s">
        <v>114</v>
      </c>
      <c r="G65" s="8">
        <f>LEN(F65)-LEN(SUBSTITUTE(F65,CHAR(10),""))+1</f>
        <v>5</v>
      </c>
    </row>
    <row r="66" spans="1:7" ht="66" x14ac:dyDescent="0.25">
      <c r="A66" s="8">
        <v>13</v>
      </c>
      <c r="B66" s="9" t="s">
        <v>109</v>
      </c>
      <c r="C66" s="10" t="s">
        <v>110</v>
      </c>
      <c r="D66" s="9" t="s">
        <v>30</v>
      </c>
      <c r="E66" s="8" t="s">
        <v>7</v>
      </c>
      <c r="F66" s="9" t="s">
        <v>115</v>
      </c>
      <c r="G66" s="8">
        <f>LEN(F66)-LEN(SUBSTITUTE(F66,CHAR(10),""))+1</f>
        <v>5</v>
      </c>
    </row>
    <row r="67" spans="1:7" ht="66" x14ac:dyDescent="0.25">
      <c r="A67" s="17">
        <v>14</v>
      </c>
      <c r="B67" s="18" t="s">
        <v>116</v>
      </c>
      <c r="C67" s="19" t="s">
        <v>117</v>
      </c>
      <c r="D67" s="18" t="s">
        <v>22</v>
      </c>
      <c r="E67" s="17" t="s">
        <v>5</v>
      </c>
      <c r="F67" s="18" t="s">
        <v>118</v>
      </c>
      <c r="G67" s="17">
        <f>LEN(F67)-LEN(SUBSTITUTE(F67,CHAR(10),""))+1</f>
        <v>5</v>
      </c>
    </row>
    <row r="68" spans="1:7" ht="66" x14ac:dyDescent="0.25">
      <c r="A68" s="14">
        <v>14</v>
      </c>
      <c r="B68" s="15" t="s">
        <v>116</v>
      </c>
      <c r="C68" s="16" t="s">
        <v>117</v>
      </c>
      <c r="D68" s="15" t="s">
        <v>24</v>
      </c>
      <c r="E68" s="14" t="s">
        <v>7</v>
      </c>
      <c r="F68" s="15" t="s">
        <v>119</v>
      </c>
      <c r="G68" s="14">
        <f>LEN(F68)-LEN(SUBSTITUTE(F68,CHAR(10),""))+1</f>
        <v>5</v>
      </c>
    </row>
    <row r="69" spans="1:7" ht="66" x14ac:dyDescent="0.25">
      <c r="A69" s="14">
        <v>14</v>
      </c>
      <c r="B69" s="15" t="s">
        <v>116</v>
      </c>
      <c r="C69" s="16" t="s">
        <v>117</v>
      </c>
      <c r="D69" s="15" t="s">
        <v>26</v>
      </c>
      <c r="E69" s="14" t="s">
        <v>7</v>
      </c>
      <c r="F69" s="15" t="s">
        <v>120</v>
      </c>
      <c r="G69" s="14">
        <f>LEN(F69)-LEN(SUBSTITUTE(F69,CHAR(10),""))+1</f>
        <v>5</v>
      </c>
    </row>
    <row r="70" spans="1:7" ht="66" x14ac:dyDescent="0.25">
      <c r="A70" s="14">
        <v>14</v>
      </c>
      <c r="B70" s="15" t="s">
        <v>116</v>
      </c>
      <c r="C70" s="16" t="s">
        <v>117</v>
      </c>
      <c r="D70" s="15" t="s">
        <v>28</v>
      </c>
      <c r="E70" s="14" t="s">
        <v>7</v>
      </c>
      <c r="F70" s="15" t="s">
        <v>121</v>
      </c>
      <c r="G70" s="14">
        <f>LEN(F70)-LEN(SUBSTITUTE(F70,CHAR(10),""))+1</f>
        <v>5</v>
      </c>
    </row>
    <row r="71" spans="1:7" ht="66" x14ac:dyDescent="0.25">
      <c r="A71" s="14">
        <v>14</v>
      </c>
      <c r="B71" s="15" t="s">
        <v>116</v>
      </c>
      <c r="C71" s="16" t="s">
        <v>117</v>
      </c>
      <c r="D71" s="15" t="s">
        <v>30</v>
      </c>
      <c r="E71" s="14" t="s">
        <v>5</v>
      </c>
      <c r="F71" s="15" t="s">
        <v>122</v>
      </c>
      <c r="G71" s="14">
        <f>LEN(F71)-LEN(SUBSTITUTE(F71,CHAR(10),""))+1</f>
        <v>5</v>
      </c>
    </row>
    <row r="72" spans="1:7" ht="66" x14ac:dyDescent="0.25">
      <c r="A72" s="11">
        <v>15</v>
      </c>
      <c r="B72" s="12" t="s">
        <v>123</v>
      </c>
      <c r="C72" s="13" t="s">
        <v>124</v>
      </c>
      <c r="D72" s="12" t="s">
        <v>22</v>
      </c>
      <c r="E72" s="11" t="s">
        <v>7</v>
      </c>
      <c r="F72" s="12" t="s">
        <v>125</v>
      </c>
      <c r="G72" s="11">
        <f>LEN(F72)-LEN(SUBSTITUTE(F72,CHAR(10),""))+1</f>
        <v>5</v>
      </c>
    </row>
    <row r="73" spans="1:7" ht="66" x14ac:dyDescent="0.25">
      <c r="A73" s="8">
        <v>15</v>
      </c>
      <c r="B73" s="9" t="s">
        <v>123</v>
      </c>
      <c r="C73" s="10" t="s">
        <v>124</v>
      </c>
      <c r="D73" s="9" t="s">
        <v>24</v>
      </c>
      <c r="E73" s="8" t="s">
        <v>5</v>
      </c>
      <c r="F73" s="9" t="s">
        <v>126</v>
      </c>
      <c r="G73" s="8">
        <f>LEN(F73)-LEN(SUBSTITUTE(F73,CHAR(10),""))+1</f>
        <v>5</v>
      </c>
    </row>
    <row r="74" spans="1:7" ht="66" x14ac:dyDescent="0.25">
      <c r="A74" s="8">
        <v>15</v>
      </c>
      <c r="B74" s="9" t="s">
        <v>123</v>
      </c>
      <c r="C74" s="10" t="s">
        <v>124</v>
      </c>
      <c r="D74" s="9" t="s">
        <v>26</v>
      </c>
      <c r="E74" s="8" t="s">
        <v>5</v>
      </c>
      <c r="F74" s="9" t="s">
        <v>127</v>
      </c>
      <c r="G74" s="8">
        <f>LEN(F74)-LEN(SUBSTITUTE(F74,CHAR(10),""))+1</f>
        <v>5</v>
      </c>
    </row>
    <row r="75" spans="1:7" ht="66" x14ac:dyDescent="0.25">
      <c r="A75" s="8">
        <v>15</v>
      </c>
      <c r="B75" s="9" t="s">
        <v>123</v>
      </c>
      <c r="C75" s="10" t="s">
        <v>124</v>
      </c>
      <c r="D75" s="9" t="s">
        <v>28</v>
      </c>
      <c r="E75" s="8" t="s">
        <v>5</v>
      </c>
      <c r="F75" s="9" t="s">
        <v>128</v>
      </c>
      <c r="G75" s="8">
        <f>LEN(F75)-LEN(SUBSTITUTE(F75,CHAR(10),""))+1</f>
        <v>5</v>
      </c>
    </row>
    <row r="76" spans="1:7" ht="66" x14ac:dyDescent="0.25">
      <c r="A76" s="8">
        <v>15</v>
      </c>
      <c r="B76" s="9" t="s">
        <v>123</v>
      </c>
      <c r="C76" s="10" t="s">
        <v>124</v>
      </c>
      <c r="D76" s="9" t="s">
        <v>30</v>
      </c>
      <c r="E76" s="8" t="s">
        <v>7</v>
      </c>
      <c r="F76" s="9" t="s">
        <v>129</v>
      </c>
      <c r="G76" s="8">
        <f>LEN(F76)-LEN(SUBSTITUTE(F76,CHAR(10),""))+1</f>
        <v>5</v>
      </c>
    </row>
    <row r="77" spans="1:7" ht="66" x14ac:dyDescent="0.25">
      <c r="A77" s="17">
        <v>16</v>
      </c>
      <c r="B77" s="18" t="s">
        <v>130</v>
      </c>
      <c r="C77" s="19" t="s">
        <v>131</v>
      </c>
      <c r="D77" s="18" t="s">
        <v>22</v>
      </c>
      <c r="E77" s="17" t="s">
        <v>5</v>
      </c>
      <c r="F77" s="18" t="s">
        <v>132</v>
      </c>
      <c r="G77" s="17">
        <f>LEN(F77)-LEN(SUBSTITUTE(F77,CHAR(10),""))+1</f>
        <v>5</v>
      </c>
    </row>
    <row r="78" spans="1:7" ht="66" x14ac:dyDescent="0.25">
      <c r="A78" s="14">
        <v>16</v>
      </c>
      <c r="B78" s="15" t="s">
        <v>130</v>
      </c>
      <c r="C78" s="16" t="s">
        <v>131</v>
      </c>
      <c r="D78" s="15" t="s">
        <v>24</v>
      </c>
      <c r="E78" s="14" t="s">
        <v>7</v>
      </c>
      <c r="F78" s="15" t="s">
        <v>133</v>
      </c>
      <c r="G78" s="14">
        <f>LEN(F78)-LEN(SUBSTITUTE(F78,CHAR(10),""))+1</f>
        <v>5</v>
      </c>
    </row>
    <row r="79" spans="1:7" ht="66" x14ac:dyDescent="0.25">
      <c r="A79" s="14">
        <v>16</v>
      </c>
      <c r="B79" s="15" t="s">
        <v>130</v>
      </c>
      <c r="C79" s="16" t="s">
        <v>131</v>
      </c>
      <c r="D79" s="15" t="s">
        <v>26</v>
      </c>
      <c r="E79" s="14" t="s">
        <v>7</v>
      </c>
      <c r="F79" s="15" t="s">
        <v>134</v>
      </c>
      <c r="G79" s="14">
        <f>LEN(F79)-LEN(SUBSTITUTE(F79,CHAR(10),""))+1</f>
        <v>5</v>
      </c>
    </row>
    <row r="80" spans="1:7" ht="66" x14ac:dyDescent="0.25">
      <c r="A80" s="14">
        <v>16</v>
      </c>
      <c r="B80" s="15" t="s">
        <v>130</v>
      </c>
      <c r="C80" s="16" t="s">
        <v>131</v>
      </c>
      <c r="D80" s="15" t="s">
        <v>28</v>
      </c>
      <c r="E80" s="14" t="s">
        <v>7</v>
      </c>
      <c r="F80" s="15" t="s">
        <v>135</v>
      </c>
      <c r="G80" s="14">
        <f>LEN(F80)-LEN(SUBSTITUTE(F80,CHAR(10),""))+1</f>
        <v>5</v>
      </c>
    </row>
    <row r="81" spans="1:7" ht="66" x14ac:dyDescent="0.25">
      <c r="A81" s="14">
        <v>16</v>
      </c>
      <c r="B81" s="15" t="s">
        <v>130</v>
      </c>
      <c r="C81" s="16" t="s">
        <v>131</v>
      </c>
      <c r="D81" s="15" t="s">
        <v>30</v>
      </c>
      <c r="E81" s="14" t="s">
        <v>5</v>
      </c>
      <c r="F81" s="15" t="s">
        <v>136</v>
      </c>
      <c r="G81" s="14">
        <f>LEN(F81)-LEN(SUBSTITUTE(F81,CHAR(10),""))+1</f>
        <v>5</v>
      </c>
    </row>
    <row r="82" spans="1:7" ht="66" x14ac:dyDescent="0.25">
      <c r="A82" s="11">
        <v>17</v>
      </c>
      <c r="B82" s="12" t="s">
        <v>137</v>
      </c>
      <c r="C82" s="13" t="s">
        <v>138</v>
      </c>
      <c r="D82" s="12" t="s">
        <v>22</v>
      </c>
      <c r="E82" s="11" t="s">
        <v>7</v>
      </c>
      <c r="F82" s="12" t="s">
        <v>139</v>
      </c>
      <c r="G82" s="11">
        <f>LEN(F82)-LEN(SUBSTITUTE(F82,CHAR(10),""))+1</f>
        <v>5</v>
      </c>
    </row>
    <row r="83" spans="1:7" ht="66" x14ac:dyDescent="0.25">
      <c r="A83" s="8">
        <v>17</v>
      </c>
      <c r="B83" s="9" t="s">
        <v>137</v>
      </c>
      <c r="C83" s="10" t="s">
        <v>138</v>
      </c>
      <c r="D83" s="9" t="s">
        <v>24</v>
      </c>
      <c r="E83" s="8" t="s">
        <v>7</v>
      </c>
      <c r="F83" s="9" t="s">
        <v>140</v>
      </c>
      <c r="G83" s="8">
        <f>LEN(F83)-LEN(SUBSTITUTE(F83,CHAR(10),""))+1</f>
        <v>5</v>
      </c>
    </row>
    <row r="84" spans="1:7" ht="66" x14ac:dyDescent="0.25">
      <c r="A84" s="8">
        <v>17</v>
      </c>
      <c r="B84" s="9" t="s">
        <v>137</v>
      </c>
      <c r="C84" s="10" t="s">
        <v>138</v>
      </c>
      <c r="D84" s="9" t="s">
        <v>26</v>
      </c>
      <c r="E84" s="8" t="s">
        <v>7</v>
      </c>
      <c r="F84" s="9" t="s">
        <v>141</v>
      </c>
      <c r="G84" s="8">
        <f>LEN(F84)-LEN(SUBSTITUTE(F84,CHAR(10),""))+1</f>
        <v>5</v>
      </c>
    </row>
    <row r="85" spans="1:7" ht="66" x14ac:dyDescent="0.25">
      <c r="A85" s="8">
        <v>17</v>
      </c>
      <c r="B85" s="9" t="s">
        <v>137</v>
      </c>
      <c r="C85" s="10" t="s">
        <v>138</v>
      </c>
      <c r="D85" s="9" t="s">
        <v>28</v>
      </c>
      <c r="E85" s="8" t="s">
        <v>7</v>
      </c>
      <c r="F85" s="9" t="s">
        <v>142</v>
      </c>
      <c r="G85" s="8">
        <f>LEN(F85)-LEN(SUBSTITUTE(F85,CHAR(10),""))+1</f>
        <v>5</v>
      </c>
    </row>
    <row r="86" spans="1:7" ht="66" x14ac:dyDescent="0.25">
      <c r="A86" s="8">
        <v>17</v>
      </c>
      <c r="B86" s="9" t="s">
        <v>137</v>
      </c>
      <c r="C86" s="10" t="s">
        <v>138</v>
      </c>
      <c r="D86" s="9" t="s">
        <v>30</v>
      </c>
      <c r="E86" s="8" t="s">
        <v>7</v>
      </c>
      <c r="F86" s="9" t="s">
        <v>143</v>
      </c>
      <c r="G86" s="8">
        <f>LEN(F86)-LEN(SUBSTITUTE(F86,CHAR(10),""))+1</f>
        <v>5</v>
      </c>
    </row>
    <row r="87" spans="1:7" ht="66" x14ac:dyDescent="0.25">
      <c r="A87" s="17">
        <v>18</v>
      </c>
      <c r="B87" s="18" t="s">
        <v>144</v>
      </c>
      <c r="C87" s="19" t="s">
        <v>145</v>
      </c>
      <c r="D87" s="18" t="s">
        <v>22</v>
      </c>
      <c r="E87" s="17" t="s">
        <v>7</v>
      </c>
      <c r="F87" s="18" t="s">
        <v>146</v>
      </c>
      <c r="G87" s="17">
        <f>LEN(F87)-LEN(SUBSTITUTE(F87,CHAR(10),""))+1</f>
        <v>5</v>
      </c>
    </row>
    <row r="88" spans="1:7" ht="66" x14ac:dyDescent="0.25">
      <c r="A88" s="14">
        <v>18</v>
      </c>
      <c r="B88" s="15" t="s">
        <v>144</v>
      </c>
      <c r="C88" s="16" t="s">
        <v>145</v>
      </c>
      <c r="D88" s="15" t="s">
        <v>24</v>
      </c>
      <c r="E88" s="14" t="s">
        <v>7</v>
      </c>
      <c r="F88" s="15" t="s">
        <v>147</v>
      </c>
      <c r="G88" s="14">
        <f>LEN(F88)-LEN(SUBSTITUTE(F88,CHAR(10),""))+1</f>
        <v>5</v>
      </c>
    </row>
    <row r="89" spans="1:7" ht="66" x14ac:dyDescent="0.25">
      <c r="A89" s="14">
        <v>18</v>
      </c>
      <c r="B89" s="15" t="s">
        <v>144</v>
      </c>
      <c r="C89" s="16" t="s">
        <v>145</v>
      </c>
      <c r="D89" s="15" t="s">
        <v>26</v>
      </c>
      <c r="E89" s="14" t="s">
        <v>7</v>
      </c>
      <c r="F89" s="15" t="s">
        <v>148</v>
      </c>
      <c r="G89" s="14">
        <f>LEN(F89)-LEN(SUBSTITUTE(F89,CHAR(10),""))+1</f>
        <v>5</v>
      </c>
    </row>
    <row r="90" spans="1:7" ht="66" x14ac:dyDescent="0.25">
      <c r="A90" s="14">
        <v>18</v>
      </c>
      <c r="B90" s="15" t="s">
        <v>144</v>
      </c>
      <c r="C90" s="16" t="s">
        <v>145</v>
      </c>
      <c r="D90" s="15" t="s">
        <v>28</v>
      </c>
      <c r="E90" s="14" t="s">
        <v>7</v>
      </c>
      <c r="F90" s="15" t="s">
        <v>149</v>
      </c>
      <c r="G90" s="14">
        <f>LEN(F90)-LEN(SUBSTITUTE(F90,CHAR(10),""))+1</f>
        <v>5</v>
      </c>
    </row>
    <row r="91" spans="1:7" ht="66" x14ac:dyDescent="0.25">
      <c r="A91" s="14">
        <v>18</v>
      </c>
      <c r="B91" s="15" t="s">
        <v>144</v>
      </c>
      <c r="C91" s="16" t="s">
        <v>145</v>
      </c>
      <c r="D91" s="15" t="s">
        <v>30</v>
      </c>
      <c r="E91" s="14" t="s">
        <v>5</v>
      </c>
      <c r="F91" s="15" t="s">
        <v>150</v>
      </c>
      <c r="G91" s="14">
        <f>LEN(F91)-LEN(SUBSTITUTE(F91,CHAR(10),""))+1</f>
        <v>5</v>
      </c>
    </row>
    <row r="92" spans="1:7" ht="66" x14ac:dyDescent="0.25">
      <c r="A92" s="11">
        <v>19</v>
      </c>
      <c r="B92" s="12" t="s">
        <v>151</v>
      </c>
      <c r="C92" s="13" t="s">
        <v>152</v>
      </c>
      <c r="D92" s="12" t="s">
        <v>22</v>
      </c>
      <c r="E92" s="11" t="s">
        <v>9</v>
      </c>
      <c r="F92" s="12" t="s">
        <v>153</v>
      </c>
      <c r="G92" s="11">
        <f>LEN(F92)-LEN(SUBSTITUTE(F92,CHAR(10),""))+1</f>
        <v>5</v>
      </c>
    </row>
    <row r="93" spans="1:7" ht="66" x14ac:dyDescent="0.25">
      <c r="A93" s="8">
        <v>19</v>
      </c>
      <c r="B93" s="9" t="s">
        <v>151</v>
      </c>
      <c r="C93" s="10" t="s">
        <v>152</v>
      </c>
      <c r="D93" s="9" t="s">
        <v>24</v>
      </c>
      <c r="E93" s="8" t="s">
        <v>5</v>
      </c>
      <c r="F93" s="9" t="s">
        <v>154</v>
      </c>
      <c r="G93" s="8">
        <f>LEN(F93)-LEN(SUBSTITUTE(F93,CHAR(10),""))+1</f>
        <v>5</v>
      </c>
    </row>
    <row r="94" spans="1:7" ht="66" x14ac:dyDescent="0.25">
      <c r="A94" s="8">
        <v>19</v>
      </c>
      <c r="B94" s="9" t="s">
        <v>151</v>
      </c>
      <c r="C94" s="10" t="s">
        <v>152</v>
      </c>
      <c r="D94" s="9" t="s">
        <v>26</v>
      </c>
      <c r="E94" s="8" t="s">
        <v>7</v>
      </c>
      <c r="F94" s="9" t="s">
        <v>155</v>
      </c>
      <c r="G94" s="8">
        <f>LEN(F94)-LEN(SUBSTITUTE(F94,CHAR(10),""))+1</f>
        <v>5</v>
      </c>
    </row>
    <row r="95" spans="1:7" ht="66" x14ac:dyDescent="0.25">
      <c r="A95" s="8">
        <v>19</v>
      </c>
      <c r="B95" s="9" t="s">
        <v>151</v>
      </c>
      <c r="C95" s="10" t="s">
        <v>152</v>
      </c>
      <c r="D95" s="9" t="s">
        <v>28</v>
      </c>
      <c r="E95" s="8" t="s">
        <v>9</v>
      </c>
      <c r="F95" s="9" t="s">
        <v>156</v>
      </c>
      <c r="G95" s="8">
        <f>LEN(F95)-LEN(SUBSTITUTE(F95,CHAR(10),""))+1</f>
        <v>5</v>
      </c>
    </row>
    <row r="96" spans="1:7" ht="66" x14ac:dyDescent="0.25">
      <c r="A96" s="8">
        <v>19</v>
      </c>
      <c r="B96" s="9" t="s">
        <v>151</v>
      </c>
      <c r="C96" s="10" t="s">
        <v>152</v>
      </c>
      <c r="D96" s="9" t="s">
        <v>30</v>
      </c>
      <c r="E96" s="8" t="s">
        <v>7</v>
      </c>
      <c r="F96" s="9" t="s">
        <v>157</v>
      </c>
      <c r="G96" s="8">
        <f>LEN(F96)-LEN(SUBSTITUTE(F96,CHAR(10),""))+1</f>
        <v>5</v>
      </c>
    </row>
    <row r="97" spans="1:7" ht="66" x14ac:dyDescent="0.25">
      <c r="A97" s="17">
        <v>20</v>
      </c>
      <c r="B97" s="18" t="s">
        <v>158</v>
      </c>
      <c r="C97" s="19" t="s">
        <v>159</v>
      </c>
      <c r="D97" s="18" t="s">
        <v>22</v>
      </c>
      <c r="E97" s="17" t="s">
        <v>5</v>
      </c>
      <c r="F97" s="18" t="s">
        <v>160</v>
      </c>
      <c r="G97" s="17">
        <f>LEN(F97)-LEN(SUBSTITUTE(F97,CHAR(10),""))+1</f>
        <v>5</v>
      </c>
    </row>
    <row r="98" spans="1:7" ht="66" x14ac:dyDescent="0.25">
      <c r="A98" s="14">
        <v>20</v>
      </c>
      <c r="B98" s="15" t="s">
        <v>158</v>
      </c>
      <c r="C98" s="16" t="s">
        <v>159</v>
      </c>
      <c r="D98" s="15" t="s">
        <v>24</v>
      </c>
      <c r="E98" s="14" t="s">
        <v>7</v>
      </c>
      <c r="F98" s="15" t="s">
        <v>161</v>
      </c>
      <c r="G98" s="14">
        <f>LEN(F98)-LEN(SUBSTITUTE(F98,CHAR(10),""))+1</f>
        <v>5</v>
      </c>
    </row>
    <row r="99" spans="1:7" ht="66" x14ac:dyDescent="0.25">
      <c r="A99" s="14">
        <v>20</v>
      </c>
      <c r="B99" s="15" t="s">
        <v>158</v>
      </c>
      <c r="C99" s="16" t="s">
        <v>159</v>
      </c>
      <c r="D99" s="15" t="s">
        <v>26</v>
      </c>
      <c r="E99" s="14" t="s">
        <v>5</v>
      </c>
      <c r="F99" s="15" t="s">
        <v>162</v>
      </c>
      <c r="G99" s="14">
        <f>LEN(F99)-LEN(SUBSTITUTE(F99,CHAR(10),""))+1</f>
        <v>5</v>
      </c>
    </row>
    <row r="100" spans="1:7" ht="66" x14ac:dyDescent="0.25">
      <c r="A100" s="14">
        <v>20</v>
      </c>
      <c r="B100" s="15" t="s">
        <v>158</v>
      </c>
      <c r="C100" s="16" t="s">
        <v>159</v>
      </c>
      <c r="D100" s="15" t="s">
        <v>28</v>
      </c>
      <c r="E100" s="14" t="s">
        <v>7</v>
      </c>
      <c r="F100" s="15" t="s">
        <v>163</v>
      </c>
      <c r="G100" s="14">
        <f>LEN(F100)-LEN(SUBSTITUTE(F100,CHAR(10),""))+1</f>
        <v>5</v>
      </c>
    </row>
    <row r="101" spans="1:7" ht="66" x14ac:dyDescent="0.25">
      <c r="A101" s="14">
        <v>20</v>
      </c>
      <c r="B101" s="15" t="s">
        <v>158</v>
      </c>
      <c r="C101" s="16" t="s">
        <v>159</v>
      </c>
      <c r="D101" s="15" t="s">
        <v>30</v>
      </c>
      <c r="E101" s="14" t="s">
        <v>5</v>
      </c>
      <c r="F101" s="15" t="s">
        <v>164</v>
      </c>
      <c r="G101" s="14">
        <f>LEN(F101)-LEN(SUBSTITUTE(F101,CHAR(10),""))+1</f>
        <v>5</v>
      </c>
    </row>
    <row r="102" spans="1:7" ht="66" x14ac:dyDescent="0.25">
      <c r="A102" s="11">
        <v>21</v>
      </c>
      <c r="B102" s="12" t="s">
        <v>165</v>
      </c>
      <c r="C102" s="13" t="s">
        <v>166</v>
      </c>
      <c r="D102" s="12" t="s">
        <v>22</v>
      </c>
      <c r="E102" s="11" t="s">
        <v>5</v>
      </c>
      <c r="F102" s="12" t="s">
        <v>167</v>
      </c>
      <c r="G102" s="11">
        <f>LEN(F102)-LEN(SUBSTITUTE(F102,CHAR(10),""))+1</f>
        <v>5</v>
      </c>
    </row>
    <row r="103" spans="1:7" ht="66" x14ac:dyDescent="0.25">
      <c r="A103" s="8">
        <v>21</v>
      </c>
      <c r="B103" s="9" t="s">
        <v>165</v>
      </c>
      <c r="C103" s="10" t="s">
        <v>166</v>
      </c>
      <c r="D103" s="9" t="s">
        <v>24</v>
      </c>
      <c r="E103" s="8" t="s">
        <v>5</v>
      </c>
      <c r="F103" s="9" t="s">
        <v>168</v>
      </c>
      <c r="G103" s="8">
        <f>LEN(F103)-LEN(SUBSTITUTE(F103,CHAR(10),""))+1</f>
        <v>5</v>
      </c>
    </row>
    <row r="104" spans="1:7" ht="66" x14ac:dyDescent="0.25">
      <c r="A104" s="8">
        <v>21</v>
      </c>
      <c r="B104" s="9" t="s">
        <v>165</v>
      </c>
      <c r="C104" s="10" t="s">
        <v>166</v>
      </c>
      <c r="D104" s="9" t="s">
        <v>26</v>
      </c>
      <c r="E104" s="8" t="s">
        <v>3</v>
      </c>
      <c r="F104" s="9" t="s">
        <v>169</v>
      </c>
      <c r="G104" s="8">
        <f>LEN(F104)-LEN(SUBSTITUTE(F104,CHAR(10),""))+1</f>
        <v>5</v>
      </c>
    </row>
    <row r="105" spans="1:7" ht="66" x14ac:dyDescent="0.25">
      <c r="A105" s="8">
        <v>21</v>
      </c>
      <c r="B105" s="9" t="s">
        <v>165</v>
      </c>
      <c r="C105" s="10" t="s">
        <v>166</v>
      </c>
      <c r="D105" s="9" t="s">
        <v>28</v>
      </c>
      <c r="E105" s="8" t="s">
        <v>5</v>
      </c>
      <c r="F105" s="9" t="s">
        <v>170</v>
      </c>
      <c r="G105" s="8">
        <f>LEN(F105)-LEN(SUBSTITUTE(F105,CHAR(10),""))+1</f>
        <v>5</v>
      </c>
    </row>
    <row r="106" spans="1:7" ht="66" x14ac:dyDescent="0.25">
      <c r="A106" s="8">
        <v>21</v>
      </c>
      <c r="B106" s="9" t="s">
        <v>165</v>
      </c>
      <c r="C106" s="10" t="s">
        <v>166</v>
      </c>
      <c r="D106" s="9" t="s">
        <v>30</v>
      </c>
      <c r="E106" s="8" t="s">
        <v>5</v>
      </c>
      <c r="F106" s="9" t="s">
        <v>171</v>
      </c>
      <c r="G106" s="8">
        <f>LEN(F106)-LEN(SUBSTITUTE(F106,CHAR(10),""))+1</f>
        <v>5</v>
      </c>
    </row>
    <row r="107" spans="1:7" ht="66" x14ac:dyDescent="0.25">
      <c r="A107" s="17">
        <v>22</v>
      </c>
      <c r="B107" s="18" t="s">
        <v>172</v>
      </c>
      <c r="C107" s="19" t="s">
        <v>173</v>
      </c>
      <c r="D107" s="18" t="s">
        <v>22</v>
      </c>
      <c r="E107" s="17" t="s">
        <v>5</v>
      </c>
      <c r="F107" s="18" t="s">
        <v>174</v>
      </c>
      <c r="G107" s="17">
        <f>LEN(F107)-LEN(SUBSTITUTE(F107,CHAR(10),""))+1</f>
        <v>5</v>
      </c>
    </row>
    <row r="108" spans="1:7" ht="66" x14ac:dyDescent="0.25">
      <c r="A108" s="14">
        <v>22</v>
      </c>
      <c r="B108" s="15" t="s">
        <v>172</v>
      </c>
      <c r="C108" s="16" t="s">
        <v>173</v>
      </c>
      <c r="D108" s="15" t="s">
        <v>24</v>
      </c>
      <c r="E108" s="14" t="s">
        <v>5</v>
      </c>
      <c r="F108" s="15" t="s">
        <v>175</v>
      </c>
      <c r="G108" s="14">
        <f>LEN(F108)-LEN(SUBSTITUTE(F108,CHAR(10),""))+1</f>
        <v>5</v>
      </c>
    </row>
    <row r="109" spans="1:7" ht="66" x14ac:dyDescent="0.25">
      <c r="A109" s="14">
        <v>22</v>
      </c>
      <c r="B109" s="15" t="s">
        <v>172</v>
      </c>
      <c r="C109" s="16" t="s">
        <v>173</v>
      </c>
      <c r="D109" s="15" t="s">
        <v>26</v>
      </c>
      <c r="E109" s="14" t="s">
        <v>5</v>
      </c>
      <c r="F109" s="15" t="s">
        <v>176</v>
      </c>
      <c r="G109" s="14">
        <f>LEN(F109)-LEN(SUBSTITUTE(F109,CHAR(10),""))+1</f>
        <v>5</v>
      </c>
    </row>
    <row r="110" spans="1:7" ht="66" x14ac:dyDescent="0.25">
      <c r="A110" s="14">
        <v>22</v>
      </c>
      <c r="B110" s="15" t="s">
        <v>172</v>
      </c>
      <c r="C110" s="16" t="s">
        <v>173</v>
      </c>
      <c r="D110" s="15" t="s">
        <v>28</v>
      </c>
      <c r="E110" s="14" t="s">
        <v>5</v>
      </c>
      <c r="F110" s="15" t="s">
        <v>177</v>
      </c>
      <c r="G110" s="14">
        <f>LEN(F110)-LEN(SUBSTITUTE(F110,CHAR(10),""))+1</f>
        <v>5</v>
      </c>
    </row>
    <row r="111" spans="1:7" ht="66" x14ac:dyDescent="0.25">
      <c r="A111" s="14">
        <v>22</v>
      </c>
      <c r="B111" s="15" t="s">
        <v>172</v>
      </c>
      <c r="C111" s="16" t="s">
        <v>173</v>
      </c>
      <c r="D111" s="15" t="s">
        <v>30</v>
      </c>
      <c r="E111" s="14" t="s">
        <v>3</v>
      </c>
      <c r="F111" s="15" t="s">
        <v>178</v>
      </c>
      <c r="G111" s="14">
        <f>LEN(F111)-LEN(SUBSTITUTE(F111,CHAR(10),""))+1</f>
        <v>5</v>
      </c>
    </row>
    <row r="112" spans="1:7" ht="66" x14ac:dyDescent="0.25">
      <c r="A112" s="11">
        <v>23</v>
      </c>
      <c r="B112" s="12" t="s">
        <v>179</v>
      </c>
      <c r="C112" s="13" t="s">
        <v>180</v>
      </c>
      <c r="D112" s="12" t="s">
        <v>22</v>
      </c>
      <c r="E112" s="11" t="s">
        <v>7</v>
      </c>
      <c r="F112" s="12" t="s">
        <v>181</v>
      </c>
      <c r="G112" s="11">
        <f>LEN(F112)-LEN(SUBSTITUTE(F112,CHAR(10),""))+1</f>
        <v>5</v>
      </c>
    </row>
    <row r="113" spans="1:7" ht="66" x14ac:dyDescent="0.25">
      <c r="A113" s="8">
        <v>23</v>
      </c>
      <c r="B113" s="9" t="s">
        <v>179</v>
      </c>
      <c r="C113" s="10" t="s">
        <v>180</v>
      </c>
      <c r="D113" s="9" t="s">
        <v>24</v>
      </c>
      <c r="E113" s="8" t="s">
        <v>9</v>
      </c>
      <c r="F113" s="9" t="s">
        <v>182</v>
      </c>
      <c r="G113" s="8">
        <f>LEN(F113)-LEN(SUBSTITUTE(F113,CHAR(10),""))+1</f>
        <v>5</v>
      </c>
    </row>
    <row r="114" spans="1:7" ht="66" x14ac:dyDescent="0.25">
      <c r="A114" s="8">
        <v>23</v>
      </c>
      <c r="B114" s="9" t="s">
        <v>179</v>
      </c>
      <c r="C114" s="10" t="s">
        <v>180</v>
      </c>
      <c r="D114" s="9" t="s">
        <v>26</v>
      </c>
      <c r="E114" s="8" t="s">
        <v>7</v>
      </c>
      <c r="F114" s="9" t="s">
        <v>183</v>
      </c>
      <c r="G114" s="8">
        <f>LEN(F114)-LEN(SUBSTITUTE(F114,CHAR(10),""))+1</f>
        <v>5</v>
      </c>
    </row>
    <row r="115" spans="1:7" ht="66" x14ac:dyDescent="0.25">
      <c r="A115" s="8">
        <v>23</v>
      </c>
      <c r="B115" s="9" t="s">
        <v>179</v>
      </c>
      <c r="C115" s="10" t="s">
        <v>180</v>
      </c>
      <c r="D115" s="9" t="s">
        <v>28</v>
      </c>
      <c r="E115" s="8" t="s">
        <v>9</v>
      </c>
      <c r="F115" s="9" t="s">
        <v>184</v>
      </c>
      <c r="G115" s="8">
        <f>LEN(F115)-LEN(SUBSTITUTE(F115,CHAR(10),""))+1</f>
        <v>5</v>
      </c>
    </row>
    <row r="116" spans="1:7" ht="66" x14ac:dyDescent="0.25">
      <c r="A116" s="8">
        <v>23</v>
      </c>
      <c r="B116" s="9" t="s">
        <v>179</v>
      </c>
      <c r="C116" s="10" t="s">
        <v>180</v>
      </c>
      <c r="D116" s="9" t="s">
        <v>30</v>
      </c>
      <c r="E116" s="8" t="s">
        <v>5</v>
      </c>
      <c r="F116" s="9" t="s">
        <v>185</v>
      </c>
      <c r="G116" s="8">
        <f>LEN(F116)-LEN(SUBSTITUTE(F116,CHAR(10),""))+1</f>
        <v>5</v>
      </c>
    </row>
  </sheetData>
  <autoFilter ref="A1:G116" xr:uid="{746DEF8B-7D9E-4C83-9DDF-350CFE1CE287}"/>
  <conditionalFormatting sqref="E2:E116">
    <cfRule type="cellIs" dxfId="14" priority="1" stopIfTrue="1" operator="equal">
      <formula>"Low"</formula>
    </cfRule>
    <cfRule type="cellIs" dxfId="13" priority="2" stopIfTrue="1" operator="equal">
      <formula>"Critical"</formula>
    </cfRule>
    <cfRule type="cellIs" dxfId="12" priority="3" stopIfTrue="1" operator="equal">
      <formula>"Very High"</formula>
    </cfRule>
    <cfRule type="cellIs" dxfId="11" priority="4" stopIfTrue="1" operator="equal">
      <formula>"Medium"</formula>
    </cfRule>
    <cfRule type="cellIs" dxfId="10" priority="5" stopIfTrue="1" operator="equal">
      <formula>"High"</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3FBDACB-3F9F-41EF-9849-B85A51DF780E}">
          <x14:formula1>
            <xm:f>'Rating Scale'!$A$2:$A$6</xm:f>
          </x14:formula1>
          <xm:sqref>E2:E116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66DA-2632-4224-A9EE-0B439E04DB05}">
  <dimension ref="A1:C8"/>
  <sheetViews>
    <sheetView workbookViewId="0"/>
  </sheetViews>
  <sheetFormatPr defaultRowHeight="13.2" x14ac:dyDescent="0.25"/>
  <cols>
    <col min="1" max="1" width="14.77734375" style="1" customWidth="1"/>
    <col min="2" max="2" width="8.77734375" style="1" customWidth="1"/>
    <col min="3" max="3" width="100.77734375" style="1" customWidth="1"/>
    <col min="4" max="16384" width="8.88671875" style="1"/>
  </cols>
  <sheetData>
    <row r="1" spans="1:3" ht="26.4" x14ac:dyDescent="0.25">
      <c r="A1" s="3" t="s">
        <v>0</v>
      </c>
      <c r="B1" s="3" t="s">
        <v>1</v>
      </c>
      <c r="C1" s="3" t="s">
        <v>2</v>
      </c>
    </row>
    <row r="2" spans="1:3" x14ac:dyDescent="0.25">
      <c r="A2" s="5" t="s">
        <v>3</v>
      </c>
      <c r="B2" s="6">
        <v>1</v>
      </c>
      <c r="C2" s="5" t="s">
        <v>4</v>
      </c>
    </row>
    <row r="3" spans="1:3" x14ac:dyDescent="0.25">
      <c r="A3" s="5" t="s">
        <v>5</v>
      </c>
      <c r="B3" s="6">
        <v>2</v>
      </c>
      <c r="C3" s="5" t="s">
        <v>6</v>
      </c>
    </row>
    <row r="4" spans="1:3" x14ac:dyDescent="0.25">
      <c r="A4" s="5" t="s">
        <v>7</v>
      </c>
      <c r="B4" s="6">
        <v>3</v>
      </c>
      <c r="C4" s="5" t="s">
        <v>8</v>
      </c>
    </row>
    <row r="5" spans="1:3" x14ac:dyDescent="0.25">
      <c r="A5" s="5" t="s">
        <v>9</v>
      </c>
      <c r="B5" s="6">
        <v>4</v>
      </c>
      <c r="C5" s="5" t="s">
        <v>10</v>
      </c>
    </row>
    <row r="6" spans="1:3" ht="26.4" x14ac:dyDescent="0.25">
      <c r="A6" s="5" t="s">
        <v>11</v>
      </c>
      <c r="B6" s="6">
        <v>5</v>
      </c>
      <c r="C6" s="5" t="s">
        <v>12</v>
      </c>
    </row>
    <row r="8" spans="1:3" x14ac:dyDescent="0.25">
      <c r="A8" s="7" t="s">
        <v>13</v>
      </c>
    </row>
  </sheetData>
  <conditionalFormatting sqref="A2:A6">
    <cfRule type="cellIs" dxfId="19" priority="1" stopIfTrue="1" operator="equal">
      <formula>"Low"</formula>
    </cfRule>
    <cfRule type="cellIs" dxfId="18" priority="2" stopIfTrue="1" operator="equal">
      <formula>"Critical"</formula>
    </cfRule>
    <cfRule type="cellIs" dxfId="17" priority="3" stopIfTrue="1" operator="equal">
      <formula>"Very High"</formula>
    </cfRule>
    <cfRule type="cellIs" dxfId="16" priority="4" stopIfTrue="1" operator="equal">
      <formula>"Medium"</formula>
    </cfRule>
    <cfRule type="cellIs" dxfId="15" priority="5" stopIfTrue="1" operator="equal">
      <formula>"High"</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EF26-9D82-494B-89E1-88FF77B96E4D}">
  <dimension ref="A1:B20"/>
  <sheetViews>
    <sheetView workbookViewId="0"/>
  </sheetViews>
  <sheetFormatPr defaultRowHeight="13.2" x14ac:dyDescent="0.25"/>
  <cols>
    <col min="1" max="1" width="22.77734375" style="1" customWidth="1"/>
    <col min="2" max="2" width="110.77734375" style="1" customWidth="1"/>
    <col min="3" max="16384" width="8.88671875" style="1"/>
  </cols>
  <sheetData>
    <row r="1" spans="1:2" ht="16.8" x14ac:dyDescent="0.25">
      <c r="A1" s="31" t="s">
        <v>197</v>
      </c>
      <c r="B1" s="5"/>
    </row>
    <row r="2" spans="1:2" ht="26.4" x14ac:dyDescent="0.25">
      <c r="A2" s="32" t="s">
        <v>198</v>
      </c>
      <c r="B2" s="5" t="s">
        <v>199</v>
      </c>
    </row>
    <row r="3" spans="1:2" ht="26.4" x14ac:dyDescent="0.25">
      <c r="A3" s="32" t="s">
        <v>200</v>
      </c>
      <c r="B3" s="5" t="s">
        <v>201</v>
      </c>
    </row>
    <row r="4" spans="1:2" ht="26.4" x14ac:dyDescent="0.25">
      <c r="A4" s="32" t="s">
        <v>202</v>
      </c>
      <c r="B4" s="5" t="s">
        <v>203</v>
      </c>
    </row>
    <row r="5" spans="1:2" ht="39.6" x14ac:dyDescent="0.25">
      <c r="A5" s="32" t="s">
        <v>204</v>
      </c>
      <c r="B5" s="5" t="s">
        <v>205</v>
      </c>
    </row>
    <row r="6" spans="1:2" x14ac:dyDescent="0.25">
      <c r="A6" s="5"/>
      <c r="B6" s="5"/>
    </row>
    <row r="7" spans="1:2" ht="16.8" x14ac:dyDescent="0.25">
      <c r="A7" s="31" t="s">
        <v>206</v>
      </c>
      <c r="B7" s="5"/>
    </row>
    <row r="8" spans="1:2" x14ac:dyDescent="0.25">
      <c r="A8" s="33">
        <v>1</v>
      </c>
      <c r="B8" s="5" t="s">
        <v>207</v>
      </c>
    </row>
    <row r="9" spans="1:2" x14ac:dyDescent="0.25">
      <c r="A9" s="33">
        <v>2</v>
      </c>
      <c r="B9" s="5" t="s">
        <v>208</v>
      </c>
    </row>
    <row r="10" spans="1:2" x14ac:dyDescent="0.25">
      <c r="A10" s="33">
        <v>3</v>
      </c>
      <c r="B10" s="5" t="s">
        <v>209</v>
      </c>
    </row>
    <row r="11" spans="1:2" x14ac:dyDescent="0.25">
      <c r="A11" s="33">
        <v>4</v>
      </c>
      <c r="B11" s="5" t="s">
        <v>210</v>
      </c>
    </row>
    <row r="12" spans="1:2" x14ac:dyDescent="0.25">
      <c r="A12" s="33">
        <v>5</v>
      </c>
      <c r="B12" s="5" t="s">
        <v>211</v>
      </c>
    </row>
    <row r="13" spans="1:2" x14ac:dyDescent="0.25">
      <c r="A13" s="33">
        <v>6</v>
      </c>
      <c r="B13" s="5" t="s">
        <v>212</v>
      </c>
    </row>
    <row r="14" spans="1:2" x14ac:dyDescent="0.25">
      <c r="A14" s="33">
        <v>7</v>
      </c>
      <c r="B14" s="5" t="s">
        <v>213</v>
      </c>
    </row>
    <row r="15" spans="1:2" x14ac:dyDescent="0.25">
      <c r="A15" s="33">
        <v>8</v>
      </c>
      <c r="B15" s="5" t="s">
        <v>214</v>
      </c>
    </row>
    <row r="16" spans="1:2" x14ac:dyDescent="0.25">
      <c r="A16" s="33">
        <v>9</v>
      </c>
      <c r="B16" s="5" t="s">
        <v>215</v>
      </c>
    </row>
    <row r="17" spans="1:2" x14ac:dyDescent="0.25">
      <c r="A17" s="33">
        <v>10</v>
      </c>
      <c r="B17" s="5" t="s">
        <v>216</v>
      </c>
    </row>
    <row r="18" spans="1:2" x14ac:dyDescent="0.25">
      <c r="A18" s="33">
        <v>11</v>
      </c>
      <c r="B18" s="5" t="s">
        <v>217</v>
      </c>
    </row>
    <row r="19" spans="1:2" x14ac:dyDescent="0.25">
      <c r="A19" s="33">
        <v>12</v>
      </c>
      <c r="B19" s="5" t="s">
        <v>218</v>
      </c>
    </row>
    <row r="20" spans="1:2" x14ac:dyDescent="0.25">
      <c r="A20" s="33">
        <v>13</v>
      </c>
      <c r="B20" s="5"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Heatmap</vt:lpstr>
      <vt:lpstr>Evaluation</vt:lpstr>
      <vt:lpstr>Rating Scale</vt:lpstr>
      <vt:lpstr>Method &amp;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Pagna Disso, Jules</dc:creator>
  <cp:lastModifiedBy>Pagna Disso, Jules</cp:lastModifiedBy>
  <dcterms:created xsi:type="dcterms:W3CDTF">2026-10-28T13:22:01Z</dcterms:created>
  <dcterms:modified xsi:type="dcterms:W3CDTF">2026-10-28T13:22:03Z</dcterms:modified>
</cp:coreProperties>
</file>